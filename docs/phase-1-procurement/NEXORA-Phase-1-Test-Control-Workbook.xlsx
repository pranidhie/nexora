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b966bc03c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0491da95375495a"/>
    <x:sheet xmlns:r="http://schemas.openxmlformats.org/officeDocument/2006/relationships" name="Requirements" sheetId="2" r:id="Rdc6b0360b30f4377"/>
    <x:sheet xmlns:r="http://schemas.openxmlformats.org/officeDocument/2006/relationships" name="Test Cases" sheetId="3" r:id="R6950773ea8e44885"/>
    <x:sheet xmlns:r="http://schemas.openxmlformats.org/officeDocument/2006/relationships" name="Traceability" sheetId="4" r:id="R020573cadb4d4429"/>
    <x:sheet xmlns:r="http://schemas.openxmlformats.org/officeDocument/2006/relationships" name="Execution" sheetId="5" r:id="Rf371f18c7d9f4ea5"/>
    <x:sheet xmlns:r="http://schemas.openxmlformats.org/officeDocument/2006/relationships" name="Defects" sheetId="6" r:id="R943e2db84eda41c7"/>
    <x:sheet xmlns:r="http://schemas.openxmlformats.org/officeDocument/2006/relationships" name="Security Tests" sheetId="7" r:id="R01313db2fb384c8d"/>
    <x:sheet xmlns:r="http://schemas.openxmlformats.org/officeDocument/2006/relationships" name="Risk Register" sheetId="8" r:id="R4e8f4222510d488f"/>
    <x:sheet xmlns:r="http://schemas.openxmlformats.org/officeDocument/2006/relationships" name="Coverage" sheetId="9" r:id="R6016e159e9864491"/>
    <x:sheet xmlns:r="http://schemas.openxmlformats.org/officeDocument/2006/relationships" name="Summary" sheetId="10" r:id="R7db8cb5805ea48e3"/>
    <x:sheet xmlns:r="http://schemas.openxmlformats.org/officeDocument/2006/relationships" name="Standards Sources" sheetId="11" r:id="R3fd5aca9c040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A"/>
      <x:name val="Carlito"/>
    </x:font>
    <x:font>
      <x:sz val="9"/>
      <x:color rgb="FF172033"/>
      <x:name val="Carlito"/>
    </x:font>
    <x:font>
      <x:b/>
      <x:sz val="10"/>
      <x:color rgb="FF0B1F3A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B"/>
      </x:patternFill>
    </x:fill>
    <x:fill>
      <x:patternFill patternType="solid">
        <x:fgColor rgb="FFF3F6F9"/>
      </x:patternFill>
    </x:fill>
    <x:fill>
      <x:patternFill patternType="solid">
        <x:fgColor rgb="FF1473E6"/>
      </x:patternFill>
    </x:fill>
  </x:fills>
  <x:borders count="7">
    <x:border/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thin">
        <x:color rgb="FF1473E6"/>
      </x:left>
      <x:top style="thin">
        <x:color rgb="FF1473E6"/>
      </x:top>
      <x:bottom style="thin">
        <x:color rgb="FF1473E6"/>
      </x:bottom>
    </x:border>
    <x:border>
      <x:top style="thin">
        <x:color rgb="FF1473E6"/>
      </x:top>
      <x:bottom style="thin">
        <x:color rgb="FF1473E6"/>
      </x:bottom>
    </x:border>
    <x:border>
      <x:right style="thin">
        <x:color rgb="FF1473E6"/>
      </x:right>
      <x:top style="thin">
        <x:color rgb="FF1473E6"/>
      </x:top>
      <x:bottom style="thin">
        <x:color rgb="FF1473E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97f1619674029" /><Relationship Type="http://schemas.openxmlformats.org/officeDocument/2006/relationships/theme" Target="/xl/theme/theme1.xml" Id="Rd3aae784ee3a4504" /><Relationship Type="http://schemas.openxmlformats.org/officeDocument/2006/relationships/sharedStrings" Target="/xl/sharedStrings.xml" Id="Rb54cee7b26304f07" /><Relationship Type="http://schemas.openxmlformats.org/officeDocument/2006/relationships/worksheet" Target="/xl/worksheets/sheet1.xml" Id="R90491da95375495a" /><Relationship Type="http://schemas.openxmlformats.org/officeDocument/2006/relationships/worksheet" Target="/xl/worksheets/sheet2.xml" Id="Rdc6b0360b30f4377" /><Relationship Type="http://schemas.openxmlformats.org/officeDocument/2006/relationships/worksheet" Target="/xl/worksheets/sheet3.xml" Id="R6950773ea8e44885" /><Relationship Type="http://schemas.openxmlformats.org/officeDocument/2006/relationships/worksheet" Target="/xl/worksheets/sheet4.xml" Id="R020573cadb4d4429" /><Relationship Type="http://schemas.openxmlformats.org/officeDocument/2006/relationships/worksheet" Target="/xl/worksheets/sheet5.xml" Id="Rf371f18c7d9f4ea5" /><Relationship Type="http://schemas.openxmlformats.org/officeDocument/2006/relationships/worksheet" Target="/xl/worksheets/sheet6.xml" Id="R943e2db84eda41c7" /><Relationship Type="http://schemas.openxmlformats.org/officeDocument/2006/relationships/worksheet" Target="/xl/worksheets/sheet7.xml" Id="R01313db2fb384c8d" /><Relationship Type="http://schemas.openxmlformats.org/officeDocument/2006/relationships/worksheet" Target="/xl/worksheets/sheet8.xml" Id="R4e8f4222510d488f" /><Relationship Type="http://schemas.openxmlformats.org/officeDocument/2006/relationships/worksheet" Target="/xl/worksheets/sheet9.xml" Id="R6016e159e9864491" /><Relationship Type="http://schemas.openxmlformats.org/officeDocument/2006/relationships/worksheet" Target="/xl/worksheets/sheet10.xml" Id="R7db8cb5805ea48e3" /><Relationship Type="http://schemas.openxmlformats.org/officeDocument/2006/relationships/worksheet" Target="/xl/worksheets/sheet11.xml" Id="R3fd5aca9c04046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2" customHeight="1">
      <x:c r="A1" s="3" t="str">
        <x:v>NEXORA Phase 1 Procurement Test Control Pack</x:v>
      </x:c>
      <x:c r="B1" s="3"/>
      <x:c r="C1" s="3"/>
      <x:c r="D1" s="3"/>
      <x:c r="E1" s="3"/>
      <x:c r="F1" s="3"/>
      <x:c r="G1" s="3"/>
      <x:c r="H1" s="3"/>
    </x:row>
    <x:row r="3" ht="26" customHeight="1">
      <x:c r="A3" s="6" t="str">
        <x:v>Document IDs: NEXORA-TC-PROC-001 | NEXORA-RTM-PROC-001 | NEXORA-TER-PROC-001 | NEXORA-DL-PROC-001</x:v>
      </x:c>
      <x:c r="B3" s="6"/>
      <x:c r="C3" s="6"/>
      <x:c r="D3" s="6"/>
      <x:c r="E3" s="6"/>
      <x:c r="F3" s="6"/>
      <x:c r="G3" s="6"/>
      <x:c r="H3" s="6"/>
    </x:row>
    <x:row r="5">
      <x:c r="A5" s="20" t="str">
        <x:v>Purpose</x:v>
      </x:c>
      <x:c r="B5" s="14" t="str">
        <x:v>Control detailed test cases, requirements traceability, manual/automated execution and defects for NEXORA Phase 1 Procurement.</x:v>
      </x:c>
    </x:row>
    <x:row r="6">
      <x:c r="A6" s="21" t="str">
        <x:v>Standards alignment</x:v>
      </x:c>
      <x:c r="B6" s="15" t="str">
        <x:v>Tailored to ISO/IEC/IEEE 29119-2:2021 test processes and ISO/IEC/IEEE 29119-3:2021 test documentation. Alignment is not formal certification.</x:v>
      </x:c>
    </x:row>
    <x:row r="7">
      <x:c r="A7" s="21" t="str">
        <x:v>Permanent IDs</x:v>
      </x:c>
      <x:c r="B7" s="15" t="str">
        <x:v>Reuse the same Test Case ID in manual evidence, Playwright titles, defect records and reports.</x:v>
      </x:c>
    </x:row>
    <x:row r="8">
      <x:c r="A8" s="21" t="str">
        <x:v>Execution rule</x:v>
      </x:c>
      <x:c r="B8" s="15" t="str">
        <x:v>Manually verify and stabilise a scenario before marking it Automated.</x:v>
      </x:c>
    </x:row>
    <x:row r="9">
      <x:c r="A9" s="21" t="str">
        <x:v>Status values</x:v>
      </x:c>
      <x:c r="B9" s="15" t="str">
        <x:v>Not Run, Pass, Fail, Blocked, Not Applicable.</x:v>
      </x:c>
    </x:row>
    <x:row r="10">
      <x:c r="A10" s="21" t="str">
        <x:v>Phase 1 scope</x:v>
      </x:c>
      <x:c r="B10" s="15" t="str">
        <x:v>Supplier, Warehouse, Purchase Request, Approval, Purchase Order, Goods Receipt, Inventory, cross-cutting controls and end-to-end flow.</x:v>
      </x:c>
    </x:row>
    <x:row r="11">
      <x:c r="A11" s="21" t="str">
        <x:v>Out of scope</x:v>
      </x:c>
      <x:c r="B11" s="15" t="str">
        <x:v>Invoice/AP/payment, later ERP modules, production-scale performance/security, AI/RAG/LLM/LangGraph and data migration.</x:v>
      </x:c>
    </x:row>
    <x:row r="12">
      <x:c r="A12" s="22" t="str">
        <x:v>Security</x:v>
      </x:c>
      <x:c r="B12" s="16" t="str">
        <x:v>Never store passwords, tokens, cookies, secrets or production personal data in this workbook.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70" hidden="0" customWidth="1"/>
    <x:col min="4" max="4" width="14" hidden="0" customWidth="1"/>
    <x:col min="5" max="5" width="14" hidden="0" customWidth="1"/>
  </x:cols>
  <x:sheetData>
    <x:row r="1" ht="21.600000381469727" hidden="0" customHeight="1">
      <x:c r="A1" s="3" t="str">
        <x:v>Requirements Baseline</x:v>
      </x:c>
      <x:c r="B1" s="3"/>
      <x:c r="C1" s="3"/>
      <x:c r="D1" s="3"/>
      <x:c r="E1" s="3"/>
    </x:row>
    <x:row r="2"/>
    <x:row r="3" ht="15" hidden="0" customHeight="1">
      <x:c r="A3" s="31" t="str">
        <x:v>Requirement ID</x:v>
      </x:c>
      <x:c r="B3" s="32" t="str">
        <x:v>Area</x:v>
      </x:c>
      <x:c r="C3" s="32" t="str">
        <x:v>Requirement statement</x:v>
      </x:c>
      <x:c r="D3" s="32" t="str">
        <x:v>Risk</x:v>
      </x:c>
      <x:c r="E3" s="33" t="str">
        <x:v>Status</x:v>
      </x:c>
    </x:row>
    <x:row r="4" ht="15" hidden="0" customHeight="1">
      <x:c r="A4" s="14" t="str">
        <x:v>SUP-REQ-001</x:v>
      </x:c>
      <x:c r="B4" s="14" t="str">
        <x:v>Supplier</x:v>
      </x:c>
      <x:c r="C4" s="14" t="str">
        <x:v>Create a supplier with a unique supplier code and valid mandatory data</x:v>
      </x:c>
      <x:c r="D4" s="14" t="str">
        <x:v>Critical</x:v>
      </x:c>
      <x:c r="E4" s="14" t="str">
        <x:v>Approved</x:v>
      </x:c>
    </x:row>
    <x:row r="5" ht="15" hidden="0" customHeight="1">
      <x:c r="A5" s="15" t="str">
        <x:v>SUP-REQ-002</x:v>
      </x:c>
      <x:c r="B5" s="15" t="str">
        <x:v>Supplier</x:v>
      </x:c>
      <x:c r="C5" s="15" t="str">
        <x:v>Validate mandatory fields, formats, boundaries and whitespace</x:v>
      </x:c>
      <x:c r="D5" s="15" t="str">
        <x:v>High</x:v>
      </x:c>
      <x:c r="E5" s="15" t="str">
        <x:v>Approved</x:v>
      </x:c>
    </x:row>
    <x:row r="6" ht="15" hidden="0" customHeight="1">
      <x:c r="A6" s="15" t="str">
        <x:v>SUP-REQ-003</x:v>
      </x:c>
      <x:c r="B6" s="15" t="str">
        <x:v>Supplier</x:v>
      </x:c>
      <x:c r="C6" s="15" t="str">
        <x:v>Prevent duplicate supplier records according to configured uniqueness rules</x:v>
      </x:c>
      <x:c r="D6" s="15" t="str">
        <x:v>Critical</x:v>
      </x:c>
      <x:c r="E6" s="15" t="str">
        <x:v>Approved</x:v>
      </x:c>
    </x:row>
    <x:row r="7" ht="15" hidden="0" customHeight="1">
      <x:c r="A7" s="15" t="str">
        <x:v>SUP-REQ-004</x:v>
      </x:c>
      <x:c r="B7" s="15" t="str">
        <x:v>Supplier</x:v>
      </x:c>
      <x:c r="C7" s="15" t="str">
        <x:v>View, search and edit supplier details with persisted changes</x:v>
      </x:c>
      <x:c r="D7" s="15" t="str">
        <x:v>High</x:v>
      </x:c>
      <x:c r="E7" s="15" t="str">
        <x:v>Approved</x:v>
      </x:c>
    </x:row>
    <x:row r="8" ht="15" hidden="0" customHeight="1">
      <x:c r="A8" s="15" t="str">
        <x:v>SUP-REQ-005</x:v>
      </x:c>
      <x:c r="B8" s="15" t="str">
        <x:v>Supplier</x:v>
      </x:c>
      <x:c r="C8" s="15" t="str">
        <x:v>Activate or deactivate a supplier and enforce downstream restrictions</x:v>
      </x:c>
      <x:c r="D8" s="15" t="str">
        <x:v>Critical</x:v>
      </x:c>
      <x:c r="E8" s="15" t="str">
        <x:v>Approved</x:v>
      </x:c>
    </x:row>
    <x:row r="9" ht="15" hidden="0" customHeight="1">
      <x:c r="A9" s="15" t="str">
        <x:v>WH-REQ-001</x:v>
      </x:c>
      <x:c r="B9" s="15" t="str">
        <x:v>Warehouse</x:v>
      </x:c>
      <x:c r="C9" s="15" t="str">
        <x:v>Create, view and select an active warehouse</x:v>
      </x:c>
      <x:c r="D9" s="15" t="str">
        <x:v>High</x:v>
      </x:c>
      <x:c r="E9" s="15" t="str">
        <x:v>Approved</x:v>
      </x:c>
    </x:row>
    <x:row r="10" ht="15" hidden="0" customHeight="1">
      <x:c r="A10" s="15" t="str">
        <x:v>WH-REQ-002</x:v>
      </x:c>
      <x:c r="B10" s="15" t="str">
        <x:v>Warehouse</x:v>
      </x:c>
      <x:c r="C10" s="15" t="str">
        <x:v>Prevent duplicate warehouse codes and invalid warehouse data</x:v>
      </x:c>
      <x:c r="D10" s="15" t="str">
        <x:v>High</x:v>
      </x:c>
      <x:c r="E10" s="15" t="str">
        <x:v>Approved</x:v>
      </x:c>
    </x:row>
    <x:row r="11" ht="15" hidden="0" customHeight="1">
      <x:c r="A11" s="15" t="str">
        <x:v>PR-REQ-001</x:v>
      </x:c>
      <x:c r="B11" s="15" t="str">
        <x:v>Purchase Request</x:v>
      </x:c>
      <x:c r="C11" s="15" t="str">
        <x:v>Create and save a purchase request with valid header and line data</x:v>
      </x:c>
      <x:c r="D11" s="15" t="str">
        <x:v>Critical</x:v>
      </x:c>
      <x:c r="E11" s="15" t="str">
        <x:v>Approved</x:v>
      </x:c>
    </x:row>
    <x:row r="12" ht="15" hidden="0" customHeight="1">
      <x:c r="A12" s="15" t="str">
        <x:v>PR-REQ-002</x:v>
      </x:c>
      <x:c r="B12" s="15" t="str">
        <x:v>Purchase Request</x:v>
      </x:c>
      <x:c r="C12" s="15" t="str">
        <x:v>Validate mandatory fields, quantities and request line completeness</x:v>
      </x:c>
      <x:c r="D12" s="15" t="str">
        <x:v>Critical</x:v>
      </x:c>
      <x:c r="E12" s="15" t="str">
        <x:v>Approved</x:v>
      </x:c>
    </x:row>
    <x:row r="13" ht="15" hidden="0" customHeight="1">
      <x:c r="A13" s="15" t="str">
        <x:v>PR-REQ-003</x:v>
      </x:c>
      <x:c r="B13" s="15" t="str">
        <x:v>Purchase Request</x:v>
      </x:c>
      <x:c r="C13" s="15" t="str">
        <x:v>View and edit a purchase request while its status permits editing</x:v>
      </x:c>
      <x:c r="D13" s="15" t="str">
        <x:v>High</x:v>
      </x:c>
      <x:c r="E13" s="15" t="str">
        <x:v>Approved</x:v>
      </x:c>
    </x:row>
    <x:row r="14" ht="15" hidden="0" customHeight="1">
      <x:c r="A14" s="15" t="str">
        <x:v>PR-REQ-004</x:v>
      </x:c>
      <x:c r="B14" s="15" t="str">
        <x:v>Purchase Request</x:v>
      </x:c>
      <x:c r="C14" s="15" t="str">
        <x:v>Submit a valid draft purchase request exactly once</x:v>
      </x:c>
      <x:c r="D14" s="15" t="str">
        <x:v>Critical</x:v>
      </x:c>
      <x:c r="E14" s="15" t="str">
        <x:v>Approved</x:v>
      </x:c>
    </x:row>
    <x:row r="15" ht="15" hidden="0" customHeight="1">
      <x:c r="A15" s="15" t="str">
        <x:v>PR-REQ-005</x:v>
      </x:c>
      <x:c r="B15" s="15" t="str">
        <x:v>Purchase Request</x:v>
      </x:c>
      <x:c r="C15" s="15" t="str">
        <x:v>Cancel an eligible purchase request and prevent invalid reuse</x:v>
      </x:c>
      <x:c r="D15" s="15" t="str">
        <x:v>High</x:v>
      </x:c>
      <x:c r="E15" s="15" t="str">
        <x:v>Approved</x:v>
      </x:c>
    </x:row>
    <x:row r="16" ht="15" hidden="0" customHeight="1">
      <x:c r="A16" s="15" t="str">
        <x:v>PR-REQ-006</x:v>
      </x:c>
      <x:c r="B16" s="15" t="str">
        <x:v>Purchase Request</x:v>
      </x:c>
      <x:c r="C16" s="15" t="str">
        <x:v>Enforce the approved purchase-request status transition model</x:v>
      </x:c>
      <x:c r="D16" s="15" t="str">
        <x:v>Critical</x:v>
      </x:c>
      <x:c r="E16" s="15" t="str">
        <x:v>Approved</x:v>
      </x:c>
    </x:row>
    <x:row r="17" ht="15" hidden="0" customHeight="1">
      <x:c r="A17" s="15" t="str">
        <x:v>APR-REQ-001</x:v>
      </x:c>
      <x:c r="B17" s="15" t="str">
        <x:v>Approval</x:v>
      </x:c>
      <x:c r="C17" s="15" t="str">
        <x:v>Present submitted requests to an authorised approver</x:v>
      </x:c>
      <x:c r="D17" s="15" t="str">
        <x:v>Critical</x:v>
      </x:c>
      <x:c r="E17" s="15" t="str">
        <x:v>Approved</x:v>
      </x:c>
    </x:row>
    <x:row r="18" ht="15" hidden="0" customHeight="1">
      <x:c r="A18" s="15" t="str">
        <x:v>APR-REQ-002</x:v>
      </x:c>
      <x:c r="B18" s="15" t="str">
        <x:v>Approval</x:v>
      </x:c>
      <x:c r="C18" s="15" t="str">
        <x:v>Approve or reject an eligible request and require an appropriate comment where configured</x:v>
      </x:c>
      <x:c r="D18" s="15" t="str">
        <x:v>Critical</x:v>
      </x:c>
      <x:c r="E18" s="15" t="str">
        <x:v>Approved</x:v>
      </x:c>
    </x:row>
    <x:row r="19" ht="15" hidden="0" customHeight="1">
      <x:c r="A19" s="15" t="str">
        <x:v>APR-REQ-003</x:v>
      </x:c>
      <x:c r="B19" s="15" t="str">
        <x:v>Approval</x:v>
      </x:c>
      <x:c r="C19" s="15" t="str">
        <x:v>Enforce approver permissions and segregation of duties</x:v>
      </x:c>
      <x:c r="D19" s="15" t="str">
        <x:v>Critical</x:v>
      </x:c>
      <x:c r="E19" s="15" t="str">
        <x:v>Approved</x:v>
      </x:c>
    </x:row>
    <x:row r="20" ht="15" hidden="0" customHeight="1">
      <x:c r="A20" s="15" t="str">
        <x:v>APR-REQ-004</x:v>
      </x:c>
      <x:c r="B20" s="15" t="str">
        <x:v>Approval</x:v>
      </x:c>
      <x:c r="C20" s="15" t="str">
        <x:v>Maintain immutable approval actor, timestamp, decision and comments history</x:v>
      </x:c>
      <x:c r="D20" s="15" t="str">
        <x:v>High</x:v>
      </x:c>
      <x:c r="E20" s="15" t="str">
        <x:v>Approved</x:v>
      </x:c>
    </x:row>
    <x:row r="21" ht="15" hidden="0" customHeight="1">
      <x:c r="A21" s="15" t="str">
        <x:v>APR-REQ-005</x:v>
      </x:c>
      <x:c r="B21" s="15" t="str">
        <x:v>Approval</x:v>
      </x:c>
      <x:c r="C21" s="15" t="str">
        <x:v>Prevent duplicate or stale approval actions</x:v>
      </x:c>
      <x:c r="D21" s="15" t="str">
        <x:v>Critical</x:v>
      </x:c>
      <x:c r="E21" s="15" t="str">
        <x:v>Approved</x:v>
      </x:c>
    </x:row>
    <x:row r="22" ht="15" hidden="0" customHeight="1">
      <x:c r="A22" s="15" t="str">
        <x:v>PO-REQ-001</x:v>
      </x:c>
      <x:c r="B22" s="15" t="str">
        <x:v>Purchase Order</x:v>
      </x:c>
      <x:c r="C22" s="15" t="str">
        <x:v>Create a purchase order only from an eligible approved request</x:v>
      </x:c>
      <x:c r="D22" s="15" t="str">
        <x:v>Critical</x:v>
      </x:c>
      <x:c r="E22" s="15" t="str">
        <x:v>Approved</x:v>
      </x:c>
    </x:row>
    <x:row r="23" ht="15" hidden="0" customHeight="1">
      <x:c r="A23" s="15" t="str">
        <x:v>PO-REQ-002</x:v>
      </x:c>
      <x:c r="B23" s="15" t="str">
        <x:v>Purchase Order</x:v>
      </x:c>
      <x:c r="C23" s="15" t="str">
        <x:v>Calculate line totals and order total accurately</x:v>
      </x:c>
      <x:c r="D23" s="15" t="str">
        <x:v>Critical</x:v>
      </x:c>
      <x:c r="E23" s="15" t="str">
        <x:v>Approved</x:v>
      </x:c>
    </x:row>
    <x:row r="24" ht="15" hidden="0" customHeight="1">
      <x:c r="A24" s="15" t="str">
        <x:v>PO-REQ-003</x:v>
      </x:c>
      <x:c r="B24" s="15" t="str">
        <x:v>Purchase Order</x:v>
      </x:c>
      <x:c r="C24" s="15" t="str">
        <x:v>View and edit a purchase order while rules permit</x:v>
      </x:c>
      <x:c r="D24" s="15" t="str">
        <x:v>High</x:v>
      </x:c>
      <x:c r="E24" s="15" t="str">
        <x:v>Approved</x:v>
      </x:c>
    </x:row>
    <x:row r="25" ht="15" hidden="0" customHeight="1">
      <x:c r="A25" s="15" t="str">
        <x:v>PO-REQ-004</x:v>
      </x:c>
      <x:c r="B25" s="15" t="str">
        <x:v>Purchase Order</x:v>
      </x:c>
      <x:c r="C25" s="15" t="str">
        <x:v>Require reapproval when an approved purchase order is materially changed</x:v>
      </x:c>
      <x:c r="D25" s="15" t="str">
        <x:v>Critical</x:v>
      </x:c>
      <x:c r="E25" s="15" t="str">
        <x:v>Approved</x:v>
      </x:c>
    </x:row>
    <x:row r="26" ht="15" hidden="0" customHeight="1">
      <x:c r="A26" s="15" t="str">
        <x:v>PO-REQ-005</x:v>
      </x:c>
      <x:c r="B26" s="15" t="str">
        <x:v>Purchase Order</x:v>
      </x:c>
      <x:c r="C26" s="15" t="str">
        <x:v>Cancel an eligible purchase order and block prohibited downstream activity</x:v>
      </x:c>
      <x:c r="D26" s="15" t="str">
        <x:v>High</x:v>
      </x:c>
      <x:c r="E26" s="15" t="str">
        <x:v>Approved</x:v>
      </x:c>
    </x:row>
    <x:row r="27" ht="15" hidden="0" customHeight="1">
      <x:c r="A27" s="15" t="str">
        <x:v>PO-REQ-006</x:v>
      </x:c>
      <x:c r="B27" s="15" t="str">
        <x:v>Purchase Order</x:v>
      </x:c>
      <x:c r="C27" s="15" t="str">
        <x:v>Prevent duplicate purchase-order creation and preserve source linkage</x:v>
      </x:c>
      <x:c r="D27" s="15" t="str">
        <x:v>Critical</x:v>
      </x:c>
      <x:c r="E27" s="15" t="str">
        <x:v>Approved</x:v>
      </x:c>
    </x:row>
    <x:row r="28" ht="15" hidden="0" customHeight="1">
      <x:c r="A28" s="15" t="str">
        <x:v>GRN-REQ-001</x:v>
      </x:c>
      <x:c r="B28" s="15" t="str">
        <x:v>Goods Receipt</x:v>
      </x:c>
      <x:c r="C28" s="15" t="str">
        <x:v>Receive eligible purchase-order quantities into the selected warehouse</x:v>
      </x:c>
      <x:c r="D28" s="15" t="str">
        <x:v>Critical</x:v>
      </x:c>
      <x:c r="E28" s="15" t="str">
        <x:v>Approved</x:v>
      </x:c>
    </x:row>
    <x:row r="29" ht="15" hidden="0" customHeight="1">
      <x:c r="A29" s="15" t="str">
        <x:v>GRN-REQ-002</x:v>
      </x:c>
      <x:c r="B29" s="15" t="str">
        <x:v>Goods Receipt</x:v>
      </x:c>
      <x:c r="C29" s="15" t="str">
        <x:v>Support full and partial receipt while maintaining remaining quantity</x:v>
      </x:c>
      <x:c r="D29" s="15" t="str">
        <x:v>Critical</x:v>
      </x:c>
      <x:c r="E29" s="15" t="str">
        <x:v>Approved</x:v>
      </x:c>
    </x:row>
    <x:row r="30" ht="15" hidden="0" customHeight="1">
      <x:c r="A30" s="15" t="str">
        <x:v>GRN-REQ-003</x:v>
      </x:c>
      <x:c r="B30" s="15" t="str">
        <x:v>Goods Receipt</x:v>
      </x:c>
      <x:c r="C30" s="15" t="str">
        <x:v>Prevent over-receipt, zero/negative quantities and duplicate receipt submission</x:v>
      </x:c>
      <x:c r="D30" s="15" t="str">
        <x:v>Critical</x:v>
      </x:c>
      <x:c r="E30" s="15" t="str">
        <x:v>Approved</x:v>
      </x:c>
    </x:row>
    <x:row r="31" ht="15" hidden="0" customHeight="1">
      <x:c r="A31" s="15" t="str">
        <x:v>GRN-REQ-004</x:v>
      </x:c>
      <x:c r="B31" s="15" t="str">
        <x:v>Goods Receipt</x:v>
      </x:c>
      <x:c r="C31" s="15" t="str">
        <x:v>Record receipt number, user, timestamp, PO and warehouse references</x:v>
      </x:c>
      <x:c r="D31" s="15" t="str">
        <x:v>High</x:v>
      </x:c>
      <x:c r="E31" s="15" t="str">
        <x:v>Approved</x:v>
      </x:c>
    </x:row>
    <x:row r="32" ht="15" hidden="0" customHeight="1">
      <x:c r="A32" s="15" t="str">
        <x:v>INV-REQ-001</x:v>
      </x:c>
      <x:c r="B32" s="15" t="str">
        <x:v>Inventory</x:v>
      </x:c>
      <x:c r="C32" s="15" t="str">
        <x:v>Increase on-hand inventory exactly once after a valid goods receipt</x:v>
      </x:c>
      <x:c r="D32" s="15" t="str">
        <x:v>Critical</x:v>
      </x:c>
      <x:c r="E32" s="15" t="str">
        <x:v>Approved</x:v>
      </x:c>
    </x:row>
    <x:row r="33" ht="15" hidden="0" customHeight="1">
      <x:c r="A33" s="15" t="str">
        <x:v>INV-REQ-002</x:v>
      </x:c>
      <x:c r="B33" s="15" t="str">
        <x:v>Inventory</x:v>
      </x:c>
      <x:c r="C33" s="15" t="str">
        <x:v>Update the correct item and warehouse without affecting unrelated stock</x:v>
      </x:c>
      <x:c r="D33" s="15" t="str">
        <x:v>Critical</x:v>
      </x:c>
      <x:c r="E33" s="15" t="str">
        <x:v>Approved</x:v>
      </x:c>
    </x:row>
    <x:row r="34" ht="15" hidden="0" customHeight="1">
      <x:c r="A34" s="15" t="str">
        <x:v>INV-REQ-003</x:v>
      </x:c>
      <x:c r="B34" s="15" t="str">
        <x:v>Inventory</x:v>
      </x:c>
      <x:c r="C34" s="15" t="str">
        <x:v>Maintain an auditable inventory transaction linked to the goods receipt</x:v>
      </x:c>
      <x:c r="D34" s="15" t="str">
        <x:v>High</x:v>
      </x:c>
      <x:c r="E34" s="15" t="str">
        <x:v>Approved</x:v>
      </x:c>
    </x:row>
    <x:row r="35" ht="15" hidden="0" customHeight="1">
      <x:c r="A35" s="15" t="str">
        <x:v>SEC-REQ-001</x:v>
      </x:c>
      <x:c r="B35" s="15" t="str">
        <x:v>Security</x:v>
      </x:c>
      <x:c r="C35" s="15" t="str">
        <x:v>Enforce authentication and session/token validity for protected procurement resources</x:v>
      </x:c>
      <x:c r="D35" s="15" t="str">
        <x:v>Critical</x:v>
      </x:c>
      <x:c r="E35" s="15" t="str">
        <x:v>Approved</x:v>
      </x:c>
    </x:row>
    <x:row r="36" ht="15" hidden="0" customHeight="1">
      <x:c r="A36" s="15" t="str">
        <x:v>SEC-REQ-002</x:v>
      </x:c>
      <x:c r="B36" s="15" t="str">
        <x:v>Security</x:v>
      </x:c>
      <x:c r="C36" s="15" t="str">
        <x:v>Enforce object-level and role-based authorisation for every procurement action</x:v>
      </x:c>
      <x:c r="D36" s="15" t="str">
        <x:v>Critical</x:v>
      </x:c>
      <x:c r="E36" s="15" t="str">
        <x:v>Approved</x:v>
      </x:c>
    </x:row>
    <x:row r="37" ht="15" hidden="0" customHeight="1">
      <x:c r="A37" s="15" t="str">
        <x:v>SEC-REQ-003</x:v>
      </x:c>
      <x:c r="B37" s="15" t="str">
        <x:v>Security</x:v>
      </x:c>
      <x:c r="C37" s="15" t="str">
        <x:v>Validate and safely handle malicious or unexpected input</x:v>
      </x:c>
      <x:c r="D37" s="15" t="str">
        <x:v>Critical</x:v>
      </x:c>
      <x:c r="E37" s="15" t="str">
        <x:v>Approved</x:v>
      </x:c>
    </x:row>
    <x:row r="38" ht="15" hidden="0" customHeight="1">
      <x:c r="A38" s="15" t="str">
        <x:v>SEC-REQ-004</x:v>
      </x:c>
      <x:c r="B38" s="15" t="str">
        <x:v>Security</x:v>
      </x:c>
      <x:c r="C38" s="15" t="str">
        <x:v>Protect browser-originated state-changing requests and apply secure cross-origin controls</x:v>
      </x:c>
      <x:c r="D38" s="15" t="str">
        <x:v>High</x:v>
      </x:c>
      <x:c r="E38" s="15" t="str">
        <x:v>Approved</x:v>
      </x:c>
    </x:row>
    <x:row r="39" ht="15" hidden="0" customHeight="1">
      <x:c r="A39" s="15" t="str">
        <x:v>SEC-REQ-005</x:v>
      </x:c>
      <x:c r="B39" s="15" t="str">
        <x:v>Security</x:v>
      </x:c>
      <x:c r="C39" s="15" t="str">
        <x:v>Prevent credential, token, personal and commercially sensitive data exposure</x:v>
      </x:c>
      <x:c r="D39" s="15" t="str">
        <x:v>Critical</x:v>
      </x:c>
      <x:c r="E39" s="15" t="str">
        <x:v>Approved</x:v>
      </x:c>
    </x:row>
    <x:row r="40" ht="15" hidden="0" customHeight="1">
      <x:c r="A40" s="15" t="str">
        <x:v>SEC-REQ-006</x:v>
      </x:c>
      <x:c r="B40" s="15" t="str">
        <x:v>Security</x:v>
      </x:c>
      <x:c r="C40" s="15" t="str">
        <x:v>Apply rate limiting and abuse protection to authentication and sensitive actions</x:v>
      </x:c>
      <x:c r="D40" s="15" t="str">
        <x:v>High</x:v>
      </x:c>
      <x:c r="E40" s="15" t="str">
        <x:v>Approved</x:v>
      </x:c>
    </x:row>
    <x:row r="41" ht="15" hidden="0" customHeight="1">
      <x:c r="A41" s="15" t="str">
        <x:v>SEC-REQ-007</x:v>
      </x:c>
      <x:c r="B41" s="15" t="str">
        <x:v>Security</x:v>
      </x:c>
      <x:c r="C41" s="15" t="str">
        <x:v>Maintain tamper-resistant security and approval audit events</x:v>
      </x:c>
      <x:c r="D41" s="15" t="str">
        <x:v>Critical</x:v>
      </x:c>
      <x:c r="E41" s="15" t="str">
        <x:v>Approved</x:v>
      </x:c>
    </x:row>
    <x:row r="42" ht="15" hidden="0" customHeight="1">
      <x:c r="A42" s="15" t="str">
        <x:v>SEC-REQ-008</x:v>
      </x:c>
      <x:c r="B42" s="15" t="str">
        <x:v>Security</x:v>
      </x:c>
      <x:c r="C42" s="15" t="str">
        <x:v>Prevent unsafe mass assignment of restricted fields</x:v>
      </x:c>
      <x:c r="D42" s="15" t="str">
        <x:v>Critical</x:v>
      </x:c>
      <x:c r="E42" s="15" t="str">
        <x:v>Approved</x:v>
      </x:c>
    </x:row>
    <x:row r="43" ht="15" hidden="0" customHeight="1">
      <x:c r="A43" s="15" t="str">
        <x:v>SEC-REQ-009</x:v>
      </x:c>
      <x:c r="B43" s="15" t="str">
        <x:v>Security</x:v>
      </x:c>
      <x:c r="C43" s="15" t="str">
        <x:v>Use appropriate transport, browser and API security controls</x:v>
      </x:c>
      <x:c r="D43" s="15" t="str">
        <x:v>High</x:v>
      </x:c>
      <x:c r="E43" s="15" t="str">
        <x:v>Approved</x:v>
      </x:c>
    </x:row>
    <x:row r="44" ht="15" hidden="0" customHeight="1">
      <x:c r="A44" s="15" t="str">
        <x:v>SEC-REQ-010</x:v>
      </x:c>
      <x:c r="B44" s="15" t="str">
        <x:v>Security</x:v>
      </x:c>
      <x:c r="C44" s="15" t="str">
        <x:v>Manage dependencies, secrets and application logs without known critical exposure</x:v>
      </x:c>
      <x:c r="D44" s="15" t="str">
        <x:v>High</x:v>
      </x:c>
      <x:c r="E44" s="15" t="str">
        <x:v>Approved</x:v>
      </x:c>
    </x:row>
    <x:row r="45" ht="15" hidden="0" customHeight="1">
      <x:c r="A45" s="15" t="str">
        <x:v>SYS-REQ-001</x:v>
      </x:c>
      <x:c r="B45" s="15" t="str">
        <x:v>Cross-cutting</x:v>
      </x:c>
      <x:c r="C45" s="15" t="str">
        <x:v>Return meaningful API and UI errors without exposing sensitive information</x:v>
      </x:c>
      <x:c r="D45" s="15" t="str">
        <x:v>High</x:v>
      </x:c>
      <x:c r="E45" s="15" t="str">
        <x:v>Approved</x:v>
      </x:c>
    </x:row>
    <x:row r="46" ht="15" hidden="0" customHeight="1">
      <x:c r="A46" s="15" t="str">
        <x:v>SYS-REQ-002</x:v>
      </x:c>
      <x:c r="B46" s="15" t="str">
        <x:v>Cross-cutting</x:v>
      </x:c>
      <x:c r="C46" s="15" t="str">
        <x:v>Record document status history consistently across procurement documents</x:v>
      </x:c>
      <x:c r="D46" s="15" t="str">
        <x:v>High</x:v>
      </x:c>
      <x:c r="E46" s="15" t="str">
        <x:v>Approved</x:v>
      </x:c>
    </x:row>
    <x:row r="47" ht="15" hidden="0" customHeight="1">
      <x:c r="A47" s="15" t="str">
        <x:v>SYS-REQ-003</x:v>
      </x:c>
      <x:c r="B47" s="15" t="str">
        <x:v>Cross-cutting</x:v>
      </x:c>
      <x:c r="C47" s="15" t="str">
        <x:v>Prevent duplicate records during retry, double-click and concurrent submission</x:v>
      </x:c>
      <x:c r="D47" s="15" t="str">
        <x:v>Critical</x:v>
      </x:c>
      <x:c r="E47" s="15" t="str">
        <x:v>Approved</x:v>
      </x:c>
    </x:row>
    <x:row r="48" ht="15" hidden="0" customHeight="1">
      <x:c r="A48" s="15" t="str">
        <x:v>SYS-REQ-004</x:v>
      </x:c>
      <x:c r="B48" s="15" t="str">
        <x:v>Cross-cutting</x:v>
      </x:c>
      <x:c r="C48" s="15" t="str">
        <x:v>Enforce authenticated role-based access to procurement actions</x:v>
      </x:c>
      <x:c r="D48" s="15" t="str">
        <x:v>Critical</x:v>
      </x:c>
      <x:c r="E48" s="15" t="str">
        <x:v>Approved</x:v>
      </x:c>
    </x:row>
    <x:row r="49" ht="15" hidden="0" customHeight="1">
      <x:c r="A49" s="16" t="str">
        <x:v>E2E-REQ-001</x:v>
      </x:c>
      <x:c r="B49" s="16" t="str">
        <x:v>End-to-End</x:v>
      </x:c>
      <x:c r="C49" s="16" t="str">
        <x:v>Complete Supplier to Inventory procurement flow with traceable document linkage</x:v>
      </x:c>
      <x:c r="D49" s="16" t="str">
        <x:v>Critical</x:v>
      </x:c>
      <x:c r="E49" s="16" t="str">
        <x:v>Approved</x:v>
      </x:c>
    </x:row>
  </x:sheetData>
  <x:mergeCells>
    <x:mergeCell ref="A1:E1"/>
  </x:mergeCells>
  <x:dataValidations count="2">
    <x:dataValidation type="list" sqref="D4:D49">
      <x:formula1>"Critical,High,Medium,Low"</x:formula1>
    </x:dataValidation>
    <x:dataValidation type="list" sqref="E4:E49">
      <x:formula1>"Draft,Approved,Changed,Retired"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8" hidden="0" customWidth="1"/>
    <x:col min="5" max="5" width="17" hidden="0" customWidth="1"/>
    <x:col min="6" max="6" width="12" hidden="0" customWidth="1"/>
    <x:col min="7" max="7" width="38" hidden="0" customWidth="1"/>
    <x:col min="8" max="8" width="58" hidden="0" customWidth="1"/>
    <x:col min="9" max="9" width="58" hidden="0" customWidth="1"/>
    <x:col min="10" max="10" width="18" hidden="0" customWidth="1"/>
    <x:col min="11" max="11" width="18" hidden="0" customWidth="1"/>
  </x:cols>
  <x:sheetData>
    <x:row r="1" ht="21.600000381469727" hidden="0" customHeight="1">
      <x:c r="A1" s="3" t="str">
        <x:v>Detailed Phase 1 Procurement Test Cases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/>
    <x:row r="3" ht="15" hidden="0" customHeight="1">
      <x:c r="A3" s="31" t="str">
        <x:v>Test Case ID</x:v>
      </x:c>
      <x:c r="B3" s="32" t="str">
        <x:v>Requirement ID</x:v>
      </x:c>
      <x:c r="C3" s="32" t="str">
        <x:v>Feature</x:v>
      </x:c>
      <x:c r="D3" s="32" t="str">
        <x:v>Title</x:v>
      </x:c>
      <x:c r="E3" s="32" t="str">
        <x:v>Type</x:v>
      </x:c>
      <x:c r="F3" s="32" t="str">
        <x:v>Priority</x:v>
      </x:c>
      <x:c r="G3" s="32" t="str">
        <x:v>Preconditions</x:v>
      </x:c>
      <x:c r="H3" s="32" t="str">
        <x:v>Test steps</x:v>
      </x:c>
      <x:c r="I3" s="32" t="str">
        <x:v>Expected result</x:v>
      </x:c>
      <x:c r="J3" s="32" t="str">
        <x:v>Target layer</x:v>
      </x:c>
      <x:c r="K3" s="33" t="str">
        <x:v>Automation status</x:v>
      </x:c>
    </x:row>
    <x:row r="4" ht="15" hidden="0" customHeight="1">
      <x:c r="A4" s="14" t="str">
        <x:v>SUP-001</x:v>
      </x:c>
      <x:c r="B4" s="14" t="str">
        <x:v>SUP-REQ-001</x:v>
      </x:c>
      <x:c r="C4" s="14" t="str">
        <x:v>Supplier</x:v>
      </x:c>
      <x:c r="D4" s="14" t="str">
        <x:v>Create supplier with valid mandatory data</x:v>
      </x:c>
      <x:c r="E4" s="14" t="str">
        <x:v>Positive</x:v>
      </x:c>
      <x:c r="F4" s="14" t="str">
        <x:v>Critical</x:v>
      </x:c>
      <x:c r="G4" s="14" t="str">
        <x:v>Admin authenticated; supplier code unused</x:v>
      </x:c>
      <x:c r="H4" s="14" t="str">
        <x:v>Enter valid supplier data; save; search and open record</x:v>
      </x:c>
      <x:c r="I4" s="14" t="str">
        <x:v>One supplier is created and all values persist</x:v>
      </x:c>
      <x:c r="J4" s="14" t="str">
        <x:v>Manual then UI/API</x:v>
      </x:c>
      <x:c r="K4" s="14" t="str">
        <x:v>Planned</x:v>
      </x:c>
    </x:row>
    <x:row r="5" ht="15" hidden="0" customHeight="1">
      <x:c r="A5" s="15" t="str">
        <x:v>SUP-002</x:v>
      </x:c>
      <x:c r="B5" s="15" t="str">
        <x:v>SUP-REQ-002</x:v>
      </x:c>
      <x:c r="C5" s="15" t="str">
        <x:v>Supplier</x:v>
      </x:c>
      <x:c r="D5" s="15" t="str">
        <x:v>Submit supplier form with all mandatory fields empty</x:v>
      </x:c>
      <x:c r="E5" s="15" t="str">
        <x:v>Negative</x:v>
      </x:c>
      <x:c r="F5" s="15" t="str">
        <x:v>High</x:v>
      </x:c>
      <x:c r="G5" s="15" t="str">
        <x:v>Admin on create form</x:v>
      </x:c>
      <x:c r="H5" s="15" t="str">
        <x:v>Leave fields empty and save</x:v>
      </x:c>
      <x:c r="I5" s="15" t="str">
        <x:v>Clear field-level validation appears; no record created</x:v>
      </x:c>
      <x:c r="J5" s="15" t="str">
        <x:v>UI</x:v>
      </x:c>
      <x:c r="K5" s="15" t="str">
        <x:v>Planned</x:v>
      </x:c>
    </x:row>
    <x:row r="6" ht="15" hidden="0" customHeight="1">
      <x:c r="A6" s="15" t="str">
        <x:v>SUP-003</x:v>
      </x:c>
      <x:c r="B6" s="15" t="str">
        <x:v>SUP-REQ-002</x:v>
      </x:c>
      <x:c r="C6" s="15" t="str">
        <x:v>Supplier</x:v>
      </x:c>
      <x:c r="D6" s="15" t="str">
        <x:v>Reject invalid supplier email format</x:v>
      </x:c>
      <x:c r="E6" s="15" t="str">
        <x:v>Negative</x:v>
      </x:c>
      <x:c r="F6" s="15" t="str">
        <x:v>High</x:v>
      </x:c>
      <x:c r="G6" s="15" t="str">
        <x:v>Admin on create form</x:v>
      </x:c>
      <x:c r="H6" s="15" t="str">
        <x:v>Enter invalid email with otherwise valid data; save</x:v>
      </x:c>
      <x:c r="I6" s="15" t="str">
        <x:v>Invalid email is rejected; no record created</x:v>
      </x:c>
      <x:c r="J6" s="15" t="str">
        <x:v>UI/API</x:v>
      </x:c>
      <x:c r="K6" s="15" t="str">
        <x:v>Planned</x:v>
      </x:c>
    </x:row>
    <x:row r="7" ht="15" hidden="0" customHeight="1">
      <x:c r="A7" s="15" t="str">
        <x:v>SUP-004</x:v>
      </x:c>
      <x:c r="B7" s="15" t="str">
        <x:v>SUP-REQ-003</x:v>
      </x:c>
      <x:c r="C7" s="15" t="str">
        <x:v>Supplier</x:v>
      </x:c>
      <x:c r="D7" s="15" t="str">
        <x:v>Prevent duplicate supplier code</x:v>
      </x:c>
      <x:c r="E7" s="15" t="str">
        <x:v>Negative</x:v>
      </x:c>
      <x:c r="F7" s="15" t="str">
        <x:v>Critical</x:v>
      </x:c>
      <x:c r="G7" s="15" t="str">
        <x:v>Supplier code already exists</x:v>
      </x:c>
      <x:c r="H7" s="15" t="str">
        <x:v>Create another supplier using same code</x:v>
      </x:c>
      <x:c r="I7" s="15" t="str">
        <x:v>Request rejected consistently; original record unchanged</x:v>
      </x:c>
      <x:c r="J7" s="15" t="str">
        <x:v>UI/API/DB</x:v>
      </x:c>
      <x:c r="K7" s="15" t="str">
        <x:v>Planned</x:v>
      </x:c>
    </x:row>
    <x:row r="8" ht="15" hidden="0" customHeight="1">
      <x:c r="A8" s="15" t="str">
        <x:v>SUP-005</x:v>
      </x:c>
      <x:c r="B8" s="15" t="str">
        <x:v>SUP-REQ-004</x:v>
      </x:c>
      <x:c r="C8" s="15" t="str">
        <x:v>Supplier</x:v>
      </x:c>
      <x:c r="D8" s="15" t="str">
        <x:v>Search and view created supplier</x:v>
      </x:c>
      <x:c r="E8" s="15" t="str">
        <x:v>Positive</x:v>
      </x:c>
      <x:c r="F8" s="15" t="str">
        <x:v>High</x:v>
      </x:c>
      <x:c r="G8" s="15" t="str">
        <x:v>Supplier exists</x:v>
      </x:c>
      <x:c r="H8" s="15" t="str">
        <x:v>Search by code/name; open details</x:v>
      </x:c>
      <x:c r="I8" s="15" t="str">
        <x:v>Correct supplier and persisted values are displayed</x:v>
      </x:c>
      <x:c r="J8" s="15" t="str">
        <x:v>UI</x:v>
      </x:c>
      <x:c r="K8" s="15" t="str">
        <x:v>Planned</x:v>
      </x:c>
    </x:row>
    <x:row r="9" ht="15" hidden="0" customHeight="1">
      <x:c r="A9" s="15" t="str">
        <x:v>SUP-006</x:v>
      </x:c>
      <x:c r="B9" s="15" t="str">
        <x:v>SUP-REQ-004</x:v>
      </x:c>
      <x:c r="C9" s="15" t="str">
        <x:v>Supplier</x:v>
      </x:c>
      <x:c r="D9" s="15" t="str">
        <x:v>Edit eligible supplier details</x:v>
      </x:c>
      <x:c r="E9" s="15" t="str">
        <x:v>Positive</x:v>
      </x:c>
      <x:c r="F9" s="15" t="str">
        <x:v>High</x:v>
      </x:c>
      <x:c r="G9" s="15" t="str">
        <x:v>Active supplier exists</x:v>
      </x:c>
      <x:c r="H9" s="15" t="str">
        <x:v>Edit permitted fields; save; reopen</x:v>
      </x:c>
      <x:c r="I9" s="15" t="str">
        <x:v>Only intended fields change; audit metadata updates</x:v>
      </x:c>
      <x:c r="J9" s="15" t="str">
        <x:v>UI/API/DB</x:v>
      </x:c>
      <x:c r="K9" s="15" t="str">
        <x:v>Planned</x:v>
      </x:c>
    </x:row>
    <x:row r="10" ht="15" hidden="0" customHeight="1">
      <x:c r="A10" s="15" t="str">
        <x:v>SUP-007</x:v>
      </x:c>
      <x:c r="B10" s="15" t="str">
        <x:v>SUP-REQ-005</x:v>
      </x:c>
      <x:c r="C10" s="15" t="str">
        <x:v>Supplier</x:v>
      </x:c>
      <x:c r="D10" s="15" t="str">
        <x:v>Deactivate an active supplier</x:v>
      </x:c>
      <x:c r="E10" s="15" t="str">
        <x:v>State transition</x:v>
      </x:c>
      <x:c r="F10" s="15" t="str">
        <x:v>Critical</x:v>
      </x:c>
      <x:c r="G10" s="15" t="str">
        <x:v>Active supplier exists</x:v>
      </x:c>
      <x:c r="H10" s="15" t="str">
        <x:v>Deactivate and confirm</x:v>
      </x:c>
      <x:c r="I10" s="15" t="str">
        <x:v>Status becomes inactive and history is recorded</x:v>
      </x:c>
      <x:c r="J10" s="15" t="str">
        <x:v>UI/API/DB</x:v>
      </x:c>
      <x:c r="K10" s="15" t="str">
        <x:v>Planned</x:v>
      </x:c>
    </x:row>
    <x:row r="11" ht="15" hidden="0" customHeight="1">
      <x:c r="A11" s="15" t="str">
        <x:v>SUP-008</x:v>
      </x:c>
      <x:c r="B11" s="15" t="str">
        <x:v>SUP-REQ-005</x:v>
      </x:c>
      <x:c r="C11" s="15" t="str">
        <x:v>Supplier</x:v>
      </x:c>
      <x:c r="D11" s="15" t="str">
        <x:v>Prevent inactive supplier use in new procurement</x:v>
      </x:c>
      <x:c r="E11" s="15" t="str">
        <x:v>Negative</x:v>
      </x:c>
      <x:c r="F11" s="15" t="str">
        <x:v>Critical</x:v>
      </x:c>
      <x:c r="G11" s="15" t="str">
        <x:v>Supplier is inactive</x:v>
      </x:c>
      <x:c r="H11" s="15" t="str">
        <x:v>Attempt to select/use supplier in PR or PO</x:v>
      </x:c>
      <x:c r="I11" s="15" t="str">
        <x:v>Inactive supplier is unavailable or transaction is rejected</x:v>
      </x:c>
      <x:c r="J11" s="15" t="str">
        <x:v>UI/API</x:v>
      </x:c>
      <x:c r="K11" s="15" t="str">
        <x:v>Planned</x:v>
      </x:c>
    </x:row>
    <x:row r="12" ht="15" hidden="0" customHeight="1">
      <x:c r="A12" s="15" t="str">
        <x:v>SUP-009</x:v>
      </x:c>
      <x:c r="B12" s="15" t="str">
        <x:v>SUP-REQ-005</x:v>
      </x:c>
      <x:c r="C12" s="15" t="str">
        <x:v>Supplier</x:v>
      </x:c>
      <x:c r="D12" s="15" t="str">
        <x:v>Reactivate an inactive supplier</x:v>
      </x:c>
      <x:c r="E12" s="15" t="str">
        <x:v>State transition</x:v>
      </x:c>
      <x:c r="F12" s="15" t="str">
        <x:v>High</x:v>
      </x:c>
      <x:c r="G12" s="15" t="str">
        <x:v>Inactive supplier exists</x:v>
      </x:c>
      <x:c r="H12" s="15" t="str">
        <x:v>Activate and confirm</x:v>
      </x:c>
      <x:c r="I12" s="15" t="str">
        <x:v>Status becomes active and supplier becomes eligible</x:v>
      </x:c>
      <x:c r="J12" s="15" t="str">
        <x:v>UI/API</x:v>
      </x:c>
      <x:c r="K12" s="15" t="str">
        <x:v>Planned</x:v>
      </x:c>
    </x:row>
    <x:row r="13" ht="15" hidden="0" customHeight="1">
      <x:c r="A13" s="15" t="str">
        <x:v>SUP-010</x:v>
      </x:c>
      <x:c r="B13" s="15" t="str">
        <x:v>SUP-REQ-002</x:v>
      </x:c>
      <x:c r="C13" s="15" t="str">
        <x:v>Supplier</x:v>
      </x:c>
      <x:c r="D13" s="15" t="str">
        <x:v>Trim leading and trailing whitespace</x:v>
      </x:c>
      <x:c r="E13" s="15" t="str">
        <x:v>Boundary</x:v>
      </x:c>
      <x:c r="F13" s="15" t="str">
        <x:v>Medium</x:v>
      </x:c>
      <x:c r="G13" s="15" t="str">
        <x:v>Admin on create form</x:v>
      </x:c>
      <x:c r="H13" s="15" t="str">
        <x:v>Enter padded code/name and save</x:v>
      </x:c>
      <x:c r="I13" s="15" t="str">
        <x:v>Stored business values follow trimming rule</x:v>
      </x:c>
      <x:c r="J13" s="15" t="str">
        <x:v>UI/API/DB</x:v>
      </x:c>
      <x:c r="K13" s="15" t="str">
        <x:v>Planned</x:v>
      </x:c>
    </x:row>
    <x:row r="14" ht="15" hidden="0" customHeight="1">
      <x:c r="A14" s="15" t="str">
        <x:v>SUP-011</x:v>
      </x:c>
      <x:c r="B14" s="15" t="str">
        <x:v>SYS-REQ-003</x:v>
      </x:c>
      <x:c r="C14" s="15" t="str">
        <x:v>Supplier</x:v>
      </x:c>
      <x:c r="D14" s="15" t="str">
        <x:v>Prevent duplicate supplier on repeated submission</x:v>
      </x:c>
      <x:c r="E14" s="15" t="str">
        <x:v>Concurrency</x:v>
      </x:c>
      <x:c r="F14" s="15" t="str">
        <x:v>High</x:v>
      </x:c>
      <x:c r="G14" s="15" t="str">
        <x:v>Valid supplier form complete</x:v>
      </x:c>
      <x:c r="H14" s="15" t="str">
        <x:v>Double-click Save or repeat identical request</x:v>
      </x:c>
      <x:c r="I14" s="15" t="str">
        <x:v>At most one supplier is committed</x:v>
      </x:c>
      <x:c r="J14" s="15" t="str">
        <x:v>UI/API/DB</x:v>
      </x:c>
      <x:c r="K14" s="15" t="str">
        <x:v>Planned</x:v>
      </x:c>
    </x:row>
    <x:row r="15" ht="15" hidden="0" customHeight="1">
      <x:c r="A15" s="15" t="str">
        <x:v>WH-001</x:v>
      </x:c>
      <x:c r="B15" s="15" t="str">
        <x:v>WH-REQ-001</x:v>
      </x:c>
      <x:c r="C15" s="15" t="str">
        <x:v>Warehouse</x:v>
      </x:c>
      <x:c r="D15" s="15" t="str">
        <x:v>Create and view active warehouse</x:v>
      </x:c>
      <x:c r="E15" s="15" t="str">
        <x:v>Positive</x:v>
      </x:c>
      <x:c r="F15" s="15" t="str">
        <x:v>High</x:v>
      </x:c>
      <x:c r="G15" s="15" t="str">
        <x:v>Authorised user authenticated</x:v>
      </x:c>
      <x:c r="H15" s="15" t="str">
        <x:v>Create valid warehouse; search and open</x:v>
      </x:c>
      <x:c r="I15" s="15" t="str">
        <x:v>Warehouse persists and is selectable</x:v>
      </x:c>
      <x:c r="J15" s="15" t="str">
        <x:v>UI/API/DB</x:v>
      </x:c>
      <x:c r="K15" s="15" t="str">
        <x:v>Planned</x:v>
      </x:c>
    </x:row>
    <x:row r="16" ht="15" hidden="0" customHeight="1">
      <x:c r="A16" s="15" t="str">
        <x:v>WH-002</x:v>
      </x:c>
      <x:c r="B16" s="15" t="str">
        <x:v>WH-REQ-002</x:v>
      </x:c>
      <x:c r="C16" s="15" t="str">
        <x:v>Warehouse</x:v>
      </x:c>
      <x:c r="D16" s="15" t="str">
        <x:v>Prevent duplicate warehouse code</x:v>
      </x:c>
      <x:c r="E16" s="15" t="str">
        <x:v>Negative</x:v>
      </x:c>
      <x:c r="F16" s="15" t="str">
        <x:v>High</x:v>
      </x:c>
      <x:c r="G16" s="15" t="str">
        <x:v>Warehouse code exists</x:v>
      </x:c>
      <x:c r="H16" s="15" t="str">
        <x:v>Submit same code again</x:v>
      </x:c>
      <x:c r="I16" s="15" t="str">
        <x:v>Duplicate rejected; one record remains</x:v>
      </x:c>
      <x:c r="J16" s="15" t="str">
        <x:v>API/DB</x:v>
      </x:c>
      <x:c r="K16" s="15" t="str">
        <x:v>Planned</x:v>
      </x:c>
    </x:row>
    <x:row r="17" ht="15" hidden="0" customHeight="1">
      <x:c r="A17" s="15" t="str">
        <x:v>WH-003</x:v>
      </x:c>
      <x:c r="B17" s="15" t="str">
        <x:v>WH-REQ-001</x:v>
      </x:c>
      <x:c r="C17" s="15" t="str">
        <x:v>Warehouse</x:v>
      </x:c>
      <x:c r="D17" s="15" t="str">
        <x:v>Select correct warehouse in procurement transaction</x:v>
      </x:c>
      <x:c r="E17" s="15" t="str">
        <x:v>Integration</x:v>
      </x:c>
      <x:c r="F17" s="15" t="str">
        <x:v>Critical</x:v>
      </x:c>
      <x:c r="G17" s="15" t="str">
        <x:v>Two active warehouses exist</x:v>
      </x:c>
      <x:c r="H17" s="15" t="str">
        <x:v>Select target warehouse during receipt</x:v>
      </x:c>
      <x:c r="I17" s="15" t="str">
        <x:v>Transaction retains selected warehouse ID</x:v>
      </x:c>
      <x:c r="J17" s="15" t="str">
        <x:v>UI/API/DB</x:v>
      </x:c>
      <x:c r="K17" s="15" t="str">
        <x:v>Planned</x:v>
      </x:c>
    </x:row>
    <x:row r="18" ht="15" hidden="0" customHeight="1">
      <x:c r="A18" s="15" t="str">
        <x:v>PR-001</x:v>
      </x:c>
      <x:c r="B18" s="15" t="str">
        <x:v>PR-REQ-001</x:v>
      </x:c>
      <x:c r="C18" s="15" t="str">
        <x:v>Purchase Request</x:v>
      </x:c>
      <x:c r="D18" s="15" t="str">
        <x:v>Create valid draft purchase request</x:v>
      </x:c>
      <x:c r="E18" s="15" t="str">
        <x:v>Positive</x:v>
      </x:c>
      <x:c r="F18" s="15" t="str">
        <x:v>Critical</x:v>
      </x:c>
      <x:c r="G18" s="15" t="str">
        <x:v>Active supplier/item/warehouse data available</x:v>
      </x:c>
      <x:c r="H18" s="15" t="str">
        <x:v>Enter valid header and line; save draft</x:v>
      </x:c>
      <x:c r="I18" s="15" t="str">
        <x:v>One Draft request is created with correct values</x:v>
      </x:c>
      <x:c r="J18" s="15" t="str">
        <x:v>UI/API/DB</x:v>
      </x:c>
      <x:c r="K18" s="15" t="str">
        <x:v>Planned</x:v>
      </x:c>
    </x:row>
    <x:row r="19" ht="15" hidden="0" customHeight="1">
      <x:c r="A19" s="15" t="str">
        <x:v>PR-002</x:v>
      </x:c>
      <x:c r="B19" s="15" t="str">
        <x:v>PR-REQ-002</x:v>
      </x:c>
      <x:c r="C19" s="15" t="str">
        <x:v>Purchase Request</x:v>
      </x:c>
      <x:c r="D19" s="15" t="str">
        <x:v>Validate empty mandatory fields</x:v>
      </x:c>
      <x:c r="E19" s="15" t="str">
        <x:v>Negative</x:v>
      </x:c>
      <x:c r="F19" s="15" t="str">
        <x:v>Critical</x:v>
      </x:c>
      <x:c r="G19" s="15" t="str">
        <x:v>User on request form</x:v>
      </x:c>
      <x:c r="H19" s="15" t="str">
        <x:v>Submit empty/incomplete form</x:v>
      </x:c>
      <x:c r="I19" s="15" t="str">
        <x:v>Required messages display; no invalid request created</x:v>
      </x:c>
      <x:c r="J19" s="15" t="str">
        <x:v>UI/API</x:v>
      </x:c>
      <x:c r="K19" s="15" t="str">
        <x:v>Planned</x:v>
      </x:c>
    </x:row>
    <x:row r="20" ht="15" hidden="0" customHeight="1">
      <x:c r="A20" s="15" t="str">
        <x:v>PR-003</x:v>
      </x:c>
      <x:c r="B20" s="15" t="str">
        <x:v>PR-REQ-002</x:v>
      </x:c>
      <x:c r="C20" s="15" t="str">
        <x:v>Purchase Request</x:v>
      </x:c>
      <x:c r="D20" s="15" t="str">
        <x:v>Reject zero or negative quantity</x:v>
      </x:c>
      <x:c r="E20" s="15" t="str">
        <x:v>Boundary</x:v>
      </x:c>
      <x:c r="F20" s="15" t="str">
        <x:v>Critical</x:v>
      </x:c>
      <x:c r="G20" s="15" t="str">
        <x:v>Draft request form open</x:v>
      </x:c>
      <x:c r="H20" s="15" t="str">
        <x:v>Enter 0 then negative quantity</x:v>
      </x:c>
      <x:c r="I20" s="15" t="str">
        <x:v>Invalid quantities rejected</x:v>
      </x:c>
      <x:c r="J20" s="15" t="str">
        <x:v>UI/API</x:v>
      </x:c>
      <x:c r="K20" s="15" t="str">
        <x:v>Planned</x:v>
      </x:c>
    </x:row>
    <x:row r="21" ht="15" hidden="0" customHeight="1">
      <x:c r="A21" s="15" t="str">
        <x:v>PR-004</x:v>
      </x:c>
      <x:c r="B21" s="15" t="str">
        <x:v>PR-REQ-003</x:v>
      </x:c>
      <x:c r="C21" s="15" t="str">
        <x:v>Purchase Request</x:v>
      </x:c>
      <x:c r="D21" s="15" t="str">
        <x:v>View saved purchase request</x:v>
      </x:c>
      <x:c r="E21" s="15" t="str">
        <x:v>Positive</x:v>
      </x:c>
      <x:c r="F21" s="15" t="str">
        <x:v>High</x:v>
      </x:c>
      <x:c r="G21" s="15" t="str">
        <x:v>Draft request exists</x:v>
      </x:c>
      <x:c r="H21" s="15" t="str">
        <x:v>Open from list</x:v>
      </x:c>
      <x:c r="I21" s="15" t="str">
        <x:v>Header, lines, totals and status match stored data</x:v>
      </x:c>
      <x:c r="J21" s="15" t="str">
        <x:v>UI/API</x:v>
      </x:c>
      <x:c r="K21" s="15" t="str">
        <x:v>Planned</x:v>
      </x:c>
    </x:row>
    <x:row r="22" ht="15" hidden="0" customHeight="1">
      <x:c r="A22" s="15" t="str">
        <x:v>PR-005</x:v>
      </x:c>
      <x:c r="B22" s="15" t="str">
        <x:v>PR-REQ-003</x:v>
      </x:c>
      <x:c r="C22" s="15" t="str">
        <x:v>Purchase Request</x:v>
      </x:c>
      <x:c r="D22" s="15" t="str">
        <x:v>Edit draft purchase request</x:v>
      </x:c>
      <x:c r="E22" s="15" t="str">
        <x:v>Positive</x:v>
      </x:c>
      <x:c r="F22" s="15" t="str">
        <x:v>High</x:v>
      </x:c>
      <x:c r="G22" s="15" t="str">
        <x:v>Draft request exists</x:v>
      </x:c>
      <x:c r="H22" s="15" t="str">
        <x:v>Change permitted line/header values; save</x:v>
      </x:c>
      <x:c r="I22" s="15" t="str">
        <x:v>Changes persist and status remains valid</x:v>
      </x:c>
      <x:c r="J22" s="15" t="str">
        <x:v>UI/API/DB</x:v>
      </x:c>
      <x:c r="K22" s="15" t="str">
        <x:v>Planned</x:v>
      </x:c>
    </x:row>
    <x:row r="23" ht="15" hidden="0" customHeight="1">
      <x:c r="A23" s="15" t="str">
        <x:v>PR-006</x:v>
      </x:c>
      <x:c r="B23" s="15" t="str">
        <x:v>PR-REQ-004</x:v>
      </x:c>
      <x:c r="C23" s="15" t="str">
        <x:v>Purchase Request</x:v>
      </x:c>
      <x:c r="D23" s="15" t="str">
        <x:v>Submit valid draft request</x:v>
      </x:c>
      <x:c r="E23" s="15" t="str">
        <x:v>State transition</x:v>
      </x:c>
      <x:c r="F23" s="15" t="str">
        <x:v>Critical</x:v>
      </x:c>
      <x:c r="G23" s="15" t="str">
        <x:v>Valid Draft request exists</x:v>
      </x:c>
      <x:c r="H23" s="15" t="str">
        <x:v>Submit and confirm</x:v>
      </x:c>
      <x:c r="I23" s="15" t="str">
        <x:v>Status changes Draft to Submitted; history recorded</x:v>
      </x:c>
      <x:c r="J23" s="15" t="str">
        <x:v>UI/API/DB</x:v>
      </x:c>
      <x:c r="K23" s="15" t="str">
        <x:v>Planned</x:v>
      </x:c>
    </x:row>
    <x:row r="24" ht="15" hidden="0" customHeight="1">
      <x:c r="A24" s="15" t="str">
        <x:v>PR-007</x:v>
      </x:c>
      <x:c r="B24" s="15" t="str">
        <x:v>PR-REQ-004</x:v>
      </x:c>
      <x:c r="C24" s="15" t="str">
        <x:v>Purchase Request</x:v>
      </x:c>
      <x:c r="D24" s="15" t="str">
        <x:v>Prevent duplicate submission</x:v>
      </x:c>
      <x:c r="E24" s="15" t="str">
        <x:v>Concurrency</x:v>
      </x:c>
      <x:c r="F24" s="15" t="str">
        <x:v>Critical</x:v>
      </x:c>
      <x:c r="G24" s="15" t="str">
        <x:v>Valid Draft request exists</x:v>
      </x:c>
      <x:c r="H24" s="15" t="str">
        <x:v>Submit twice or replay request</x:v>
      </x:c>
      <x:c r="I24" s="15" t="str">
        <x:v>Single transition occurs; no duplicate workflow event</x:v>
      </x:c>
      <x:c r="J24" s="15" t="str">
        <x:v>API/DB</x:v>
      </x:c>
      <x:c r="K24" s="15" t="str">
        <x:v>Planned</x:v>
      </x:c>
    </x:row>
    <x:row r="25" ht="15" hidden="0" customHeight="1">
      <x:c r="A25" s="15" t="str">
        <x:v>PR-008</x:v>
      </x:c>
      <x:c r="B25" s="15" t="str">
        <x:v>PR-REQ-003</x:v>
      </x:c>
      <x:c r="C25" s="15" t="str">
        <x:v>Purchase Request</x:v>
      </x:c>
      <x:c r="D25" s="15" t="str">
        <x:v>Prevent prohibited edit after submission</x:v>
      </x:c>
      <x:c r="E25" s="15" t="str">
        <x:v>Negative</x:v>
      </x:c>
      <x:c r="F25" s="15" t="str">
        <x:v>Critical</x:v>
      </x:c>
      <x:c r="G25" s="15" t="str">
        <x:v>Submitted request exists</x:v>
      </x:c>
      <x:c r="H25" s="15" t="str">
        <x:v>Attempt UI and direct API edit</x:v>
      </x:c>
      <x:c r="I25" s="15" t="str">
        <x:v>Edit blocked according to status rule</x:v>
      </x:c>
      <x:c r="J25" s="15" t="str">
        <x:v>UI/API</x:v>
      </x:c>
      <x:c r="K25" s="15" t="str">
        <x:v>Planned</x:v>
      </x:c>
    </x:row>
    <x:row r="26" ht="15" hidden="0" customHeight="1">
      <x:c r="A26" s="15" t="str">
        <x:v>PR-009</x:v>
      </x:c>
      <x:c r="B26" s="15" t="str">
        <x:v>PR-REQ-005</x:v>
      </x:c>
      <x:c r="C26" s="15" t="str">
        <x:v>Purchase Request</x:v>
      </x:c>
      <x:c r="D26" s="15" t="str">
        <x:v>Cancel eligible draft request</x:v>
      </x:c>
      <x:c r="E26" s="15" t="str">
        <x:v>State transition</x:v>
      </x:c>
      <x:c r="F26" s="15" t="str">
        <x:v>High</x:v>
      </x:c>
      <x:c r="G26" s="15" t="str">
        <x:v>Draft request exists</x:v>
      </x:c>
      <x:c r="H26" s="15" t="str">
        <x:v>Cancel and confirm</x:v>
      </x:c>
      <x:c r="I26" s="15" t="str">
        <x:v>Status becomes Cancelled; history recorded</x:v>
      </x:c>
      <x:c r="J26" s="15" t="str">
        <x:v>UI/API/DB</x:v>
      </x:c>
      <x:c r="K26" s="15" t="str">
        <x:v>Planned</x:v>
      </x:c>
    </x:row>
    <x:row r="27" ht="15" hidden="0" customHeight="1">
      <x:c r="A27" s="15" t="str">
        <x:v>PR-010</x:v>
      </x:c>
      <x:c r="B27" s="15" t="str">
        <x:v>PR-REQ-006</x:v>
      </x:c>
      <x:c r="C27" s="15" t="str">
        <x:v>Purchase Request</x:v>
      </x:c>
      <x:c r="D27" s="15" t="str">
        <x:v>Reject invalid status transition</x:v>
      </x:c>
      <x:c r="E27" s="15" t="str">
        <x:v>Negative</x:v>
      </x:c>
      <x:c r="F27" s="15" t="str">
        <x:v>Critical</x:v>
      </x:c>
      <x:c r="G27" s="15" t="str">
        <x:v>Request in non-eligible status</x:v>
      </x:c>
      <x:c r="H27" s="15" t="str">
        <x:v>Attempt unsupported status change via API</x:v>
      </x:c>
      <x:c r="I27" s="15" t="str">
        <x:v>Request rejected and state remains unchanged</x:v>
      </x:c>
      <x:c r="J27" s="15" t="str">
        <x:v>API/DB</x:v>
      </x:c>
      <x:c r="K27" s="15" t="str">
        <x:v>Planned</x:v>
      </x:c>
    </x:row>
    <x:row r="28" ht="15" hidden="0" customHeight="1">
      <x:c r="A28" s="15" t="str">
        <x:v>APR-001</x:v>
      </x:c>
      <x:c r="B28" s="15" t="str">
        <x:v>APR-REQ-001</x:v>
      </x:c>
      <x:c r="C28" s="15" t="str">
        <x:v>Approval</x:v>
      </x:c>
      <x:c r="D28" s="15" t="str">
        <x:v>Display submitted request in approval queue</x:v>
      </x:c>
      <x:c r="E28" s="15" t="str">
        <x:v>Integration</x:v>
      </x:c>
      <x:c r="F28" s="15" t="str">
        <x:v>Critical</x:v>
      </x:c>
      <x:c r="G28" s="15" t="str">
        <x:v>Submitted request exists; approver authenticated</x:v>
      </x:c>
      <x:c r="H28" s="15" t="str">
        <x:v>Open approval queue and locate request</x:v>
      </x:c>
      <x:c r="I28" s="15" t="str">
        <x:v>Correct request is available to authorised approver</x:v>
      </x:c>
      <x:c r="J28" s="15" t="str">
        <x:v>UI/API</x:v>
      </x:c>
      <x:c r="K28" s="15" t="str">
        <x:v>Planned</x:v>
      </x:c>
    </x:row>
    <x:row r="29" ht="15" hidden="0" customHeight="1">
      <x:c r="A29" s="15" t="str">
        <x:v>APR-002</x:v>
      </x:c>
      <x:c r="B29" s="15" t="str">
        <x:v>APR-REQ-002</x:v>
      </x:c>
      <x:c r="C29" s="15" t="str">
        <x:v>Approval</x:v>
      </x:c>
      <x:c r="D29" s="15" t="str">
        <x:v>Approve eligible purchase request</x:v>
      </x:c>
      <x:c r="E29" s="15" t="str">
        <x:v>State transition</x:v>
      </x:c>
      <x:c r="F29" s="15" t="str">
        <x:v>Critical</x:v>
      </x:c>
      <x:c r="G29" s="15" t="str">
        <x:v>Submitted request; authorised approver</x:v>
      </x:c>
      <x:c r="H29" s="15" t="str">
        <x:v>Approve request</x:v>
      </x:c>
      <x:c r="I29" s="15" t="str">
        <x:v>Request becomes Approved and decision is recorded</x:v>
      </x:c>
      <x:c r="J29" s="15" t="str">
        <x:v>UI/API/DB</x:v>
      </x:c>
      <x:c r="K29" s="15" t="str">
        <x:v>Planned</x:v>
      </x:c>
    </x:row>
    <x:row r="30" ht="15" hidden="0" customHeight="1">
      <x:c r="A30" s="15" t="str">
        <x:v>APR-003</x:v>
      </x:c>
      <x:c r="B30" s="15" t="str">
        <x:v>APR-REQ-002</x:v>
      </x:c>
      <x:c r="C30" s="15" t="str">
        <x:v>Approval</x:v>
      </x:c>
      <x:c r="D30" s="15" t="str">
        <x:v>Reject eligible request with reason</x:v>
      </x:c>
      <x:c r="E30" s="15" t="str">
        <x:v>State transition</x:v>
      </x:c>
      <x:c r="F30" s="15" t="str">
        <x:v>Critical</x:v>
      </x:c>
      <x:c r="G30" s="15" t="str">
        <x:v>Submitted request; authorised approver</x:v>
      </x:c>
      <x:c r="H30" s="15" t="str">
        <x:v>Enter reason and reject</x:v>
      </x:c>
      <x:c r="I30" s="15" t="str">
        <x:v>Request becomes Rejected; reason persists</x:v>
      </x:c>
      <x:c r="J30" s="15" t="str">
        <x:v>UI/API/DB</x:v>
      </x:c>
      <x:c r="K30" s="15" t="str">
        <x:v>Planned</x:v>
      </x:c>
    </x:row>
    <x:row r="31" ht="15" hidden="0" customHeight="1">
      <x:c r="A31" s="15" t="str">
        <x:v>APR-004</x:v>
      </x:c>
      <x:c r="B31" s="15" t="str">
        <x:v>APR-REQ-002</x:v>
      </x:c>
      <x:c r="C31" s="15" t="str">
        <x:v>Approval</x:v>
      </x:c>
      <x:c r="D31" s="15" t="str">
        <x:v>Validate mandatory rejection comment</x:v>
      </x:c>
      <x:c r="E31" s="15" t="str">
        <x:v>Negative</x:v>
      </x:c>
      <x:c r="F31" s="15" t="str">
        <x:v>High</x:v>
      </x:c>
      <x:c r="G31" s="15" t="str">
        <x:v>Submitted request</x:v>
      </x:c>
      <x:c r="H31" s="15" t="str">
        <x:v>Reject without required reason</x:v>
      </x:c>
      <x:c r="I31" s="15" t="str">
        <x:v>Validation displayed; no decision committed</x:v>
      </x:c>
      <x:c r="J31" s="15" t="str">
        <x:v>UI/API</x:v>
      </x:c>
      <x:c r="K31" s="15" t="str">
        <x:v>Planned</x:v>
      </x:c>
    </x:row>
    <x:row r="32" ht="15" hidden="0" customHeight="1">
      <x:c r="A32" s="15" t="str">
        <x:v>APR-005</x:v>
      </x:c>
      <x:c r="B32" s="15" t="str">
        <x:v>APR-REQ-003</x:v>
      </x:c>
      <x:c r="C32" s="15" t="str">
        <x:v>Approval</x:v>
      </x:c>
      <x:c r="D32" s="15" t="str">
        <x:v>Block unauthorised approval action</x:v>
      </x:c>
      <x:c r="E32" s="15" t="str">
        <x:v>Security</x:v>
      </x:c>
      <x:c r="F32" s="15" t="str">
        <x:v>Critical</x:v>
      </x:c>
      <x:c r="G32" s="15" t="str">
        <x:v>Non-approver authenticated</x:v>
      </x:c>
      <x:c r="H32" s="15" t="str">
        <x:v>Attempt approval in UI and API</x:v>
      </x:c>
      <x:c r="I32" s="15" t="str">
        <x:v>Action denied; request unchanged; event safely logged</x:v>
      </x:c>
      <x:c r="J32" s="15" t="str">
        <x:v>UI/API/DB</x:v>
      </x:c>
      <x:c r="K32" s="15" t="str">
        <x:v>Planned</x:v>
      </x:c>
    </x:row>
    <x:row r="33" ht="15" hidden="0" customHeight="1">
      <x:c r="A33" s="15" t="str">
        <x:v>APR-006</x:v>
      </x:c>
      <x:c r="B33" s="15" t="str">
        <x:v>APR-REQ-003</x:v>
      </x:c>
      <x:c r="C33" s="15" t="str">
        <x:v>Approval</x:v>
      </x:c>
      <x:c r="D33" s="15" t="str">
        <x:v>Prevent self-approval where segregation is required</x:v>
      </x:c>
      <x:c r="E33" s="15" t="str">
        <x:v>Security</x:v>
      </x:c>
      <x:c r="F33" s="15" t="str">
        <x:v>Critical</x:v>
      </x:c>
      <x:c r="G33" s="15" t="str">
        <x:v>Requester is also approval-capable user</x:v>
      </x:c>
      <x:c r="H33" s="15" t="str">
        <x:v>Requester attempts to approve own request</x:v>
      </x:c>
      <x:c r="I33" s="15" t="str">
        <x:v>Action denied according to policy</x:v>
      </x:c>
      <x:c r="J33" s="15" t="str">
        <x:v>UI/API</x:v>
      </x:c>
      <x:c r="K33" s="15" t="str">
        <x:v>Planned</x:v>
      </x:c>
    </x:row>
    <x:row r="34" ht="15" hidden="0" customHeight="1">
      <x:c r="A34" s="15" t="str">
        <x:v>APR-007</x:v>
      </x:c>
      <x:c r="B34" s="15" t="str">
        <x:v>APR-REQ-004</x:v>
      </x:c>
      <x:c r="C34" s="15" t="str">
        <x:v>Approval</x:v>
      </x:c>
      <x:c r="D34" s="15" t="str">
        <x:v>Verify approval history fields</x:v>
      </x:c>
      <x:c r="E34" s="15" t="str">
        <x:v>Audit</x:v>
      </x:c>
      <x:c r="F34" s="15" t="str">
        <x:v>High</x:v>
      </x:c>
      <x:c r="G34" s="15" t="str">
        <x:v>Decision completed</x:v>
      </x:c>
      <x:c r="H34" s="15" t="str">
        <x:v>Open history/read API</x:v>
      </x:c>
      <x:c r="I34" s="15" t="str">
        <x:v>Actor, timestamp, decision and comment are accurate</x:v>
      </x:c>
      <x:c r="J34" s="15" t="str">
        <x:v>UI/API/DB</x:v>
      </x:c>
      <x:c r="K34" s="15" t="str">
        <x:v>Planned</x:v>
      </x:c>
    </x:row>
    <x:row r="35" ht="15" hidden="0" customHeight="1">
      <x:c r="A35" s="15" t="str">
        <x:v>APR-008</x:v>
      </x:c>
      <x:c r="B35" s="15" t="str">
        <x:v>APR-REQ-005</x:v>
      </x:c>
      <x:c r="C35" s="15" t="str">
        <x:v>Approval</x:v>
      </x:c>
      <x:c r="D35" s="15" t="str">
        <x:v>Prevent duplicate approval</x:v>
      </x:c>
      <x:c r="E35" s="15" t="str">
        <x:v>Concurrency</x:v>
      </x:c>
      <x:c r="F35" s="15" t="str">
        <x:v>Critical</x:v>
      </x:c>
      <x:c r="G35" s="15" t="str">
        <x:v>Submitted request</x:v>
      </x:c>
      <x:c r="H35" s="15" t="str">
        <x:v>Double-click/replay approval</x:v>
      </x:c>
      <x:c r="I35" s="15" t="str">
        <x:v>Only one decision is committed</x:v>
      </x:c>
      <x:c r="J35" s="15" t="str">
        <x:v>API/DB</x:v>
      </x:c>
      <x:c r="K35" s="15" t="str">
        <x:v>Planned</x:v>
      </x:c>
    </x:row>
    <x:row r="36" ht="15" hidden="0" customHeight="1">
      <x:c r="A36" s="15" t="str">
        <x:v>APR-009</x:v>
      </x:c>
      <x:c r="B36" s="15" t="str">
        <x:v>APR-REQ-005</x:v>
      </x:c>
      <x:c r="C36" s="15" t="str">
        <x:v>Approval</x:v>
      </x:c>
      <x:c r="D36" s="15" t="str">
        <x:v>Reject approval of stale or cancelled request</x:v>
      </x:c>
      <x:c r="E36" s="15" t="str">
        <x:v>Negative</x:v>
      </x:c>
      <x:c r="F36" s="15" t="str">
        <x:v>Critical</x:v>
      </x:c>
      <x:c r="G36" s="15" t="str">
        <x:v>Request status changed after page loaded</x:v>
      </x:c>
      <x:c r="H36" s="15" t="str">
        <x:v>Attempt approval from stale page/request</x:v>
      </x:c>
      <x:c r="I36" s="15" t="str">
        <x:v>Conflict returned; latest state preserved</x:v>
      </x:c>
      <x:c r="J36" s="15" t="str">
        <x:v>UI/API/DB</x:v>
      </x:c>
      <x:c r="K36" s="15" t="str">
        <x:v>Planned</x:v>
      </x:c>
    </x:row>
    <x:row r="37" ht="15" hidden="0" customHeight="1">
      <x:c r="A37" s="15" t="str">
        <x:v>PO-001</x:v>
      </x:c>
      <x:c r="B37" s="15" t="str">
        <x:v>PO-REQ-001</x:v>
      </x:c>
      <x:c r="C37" s="15" t="str">
        <x:v>Purchase Order</x:v>
      </x:c>
      <x:c r="D37" s="15" t="str">
        <x:v>Create PO from approved purchase request</x:v>
      </x:c>
      <x:c r="E37" s="15" t="str">
        <x:v>Positive</x:v>
      </x:c>
      <x:c r="F37" s="15" t="str">
        <x:v>Critical</x:v>
      </x:c>
      <x:c r="G37" s="15" t="str">
        <x:v>Approved request not yet converted</x:v>
      </x:c>
      <x:c r="H37" s="15" t="str">
        <x:v>Create PO from request</x:v>
      </x:c>
      <x:c r="I37" s="15" t="str">
        <x:v>One linked PO is created with correct supplier/lines</x:v>
      </x:c>
      <x:c r="J37" s="15" t="str">
        <x:v>UI/API/DB</x:v>
      </x:c>
      <x:c r="K37" s="15" t="str">
        <x:v>Planned</x:v>
      </x:c>
    </x:row>
    <x:row r="38" ht="15" hidden="0" customHeight="1">
      <x:c r="A38" s="15" t="str">
        <x:v>PO-002</x:v>
      </x:c>
      <x:c r="B38" s="15" t="str">
        <x:v>PO-REQ-001</x:v>
      </x:c>
      <x:c r="C38" s="15" t="str">
        <x:v>Purchase Order</x:v>
      </x:c>
      <x:c r="D38" s="15" t="str">
        <x:v>Prevent PO from unapproved request</x:v>
      </x:c>
      <x:c r="E38" s="15" t="str">
        <x:v>Negative</x:v>
      </x:c>
      <x:c r="F38" s="15" t="str">
        <x:v>Critical</x:v>
      </x:c>
      <x:c r="G38" s="15" t="str">
        <x:v>Draft/submitted/rejected request exists</x:v>
      </x:c>
      <x:c r="H38" s="15" t="str">
        <x:v>Attempt PO creation</x:v>
      </x:c>
      <x:c r="I38" s="15" t="str">
        <x:v>Creation denied; no PO committed</x:v>
      </x:c>
      <x:c r="J38" s="15" t="str">
        <x:v>UI/API/DB</x:v>
      </x:c>
      <x:c r="K38" s="15" t="str">
        <x:v>Planned</x:v>
      </x:c>
    </x:row>
    <x:row r="39" ht="15" hidden="0" customHeight="1">
      <x:c r="A39" s="15" t="str">
        <x:v>PO-003</x:v>
      </x:c>
      <x:c r="B39" s="15" t="str">
        <x:v>PO-REQ-002</x:v>
      </x:c>
      <x:c r="C39" s="15" t="str">
        <x:v>Purchase Order</x:v>
      </x:c>
      <x:c r="D39" s="15" t="str">
        <x:v>Calculate line and order totals</x:v>
      </x:c>
      <x:c r="E39" s="15" t="str">
        <x:v>Calculation</x:v>
      </x:c>
      <x:c r="F39" s="15" t="str">
        <x:v>Critical</x:v>
      </x:c>
      <x:c r="G39" s="15" t="str">
        <x:v>PO with multiple lines</x:v>
      </x:c>
      <x:c r="H39" s="15" t="str">
        <x:v>Enter quantities/prices and save</x:v>
      </x:c>
      <x:c r="I39" s="15" t="str">
        <x:v>Line totals and grand total are accurate</x:v>
      </x:c>
      <x:c r="J39" s="15" t="str">
        <x:v>UI/API/DB</x:v>
      </x:c>
      <x:c r="K39" s="15" t="str">
        <x:v>Planned</x:v>
      </x:c>
    </x:row>
    <x:row r="40" ht="15" hidden="0" customHeight="1">
      <x:c r="A40" s="15" t="str">
        <x:v>PO-004</x:v>
      </x:c>
      <x:c r="B40" s="15" t="str">
        <x:v>PO-REQ-003</x:v>
      </x:c>
      <x:c r="C40" s="15" t="str">
        <x:v>Purchase Order</x:v>
      </x:c>
      <x:c r="D40" s="15" t="str">
        <x:v>View saved PO and source linkage</x:v>
      </x:c>
      <x:c r="E40" s="15" t="str">
        <x:v>Positive</x:v>
      </x:c>
      <x:c r="F40" s="15" t="str">
        <x:v>High</x:v>
      </x:c>
      <x:c r="G40" s="15" t="str">
        <x:v>PO exists</x:v>
      </x:c>
      <x:c r="H40" s="15" t="str">
        <x:v>Search and open PO</x:v>
      </x:c>
      <x:c r="I40" s="15" t="str">
        <x:v>Saved values and source request reference are correct</x:v>
      </x:c>
      <x:c r="J40" s="15" t="str">
        <x:v>UI/API</x:v>
      </x:c>
      <x:c r="K40" s="15" t="str">
        <x:v>Planned</x:v>
      </x:c>
    </x:row>
    <x:row r="41" ht="15" hidden="0" customHeight="1">
      <x:c r="A41" s="15" t="str">
        <x:v>PO-005</x:v>
      </x:c>
      <x:c r="B41" s="15" t="str">
        <x:v>PO-REQ-003</x:v>
      </x:c>
      <x:c r="C41" s="15" t="str">
        <x:v>Purchase Order</x:v>
      </x:c>
      <x:c r="D41" s="15" t="str">
        <x:v>Edit eligible PO</x:v>
      </x:c>
      <x:c r="E41" s="15" t="str">
        <x:v>Positive</x:v>
      </x:c>
      <x:c r="F41" s="15" t="str">
        <x:v>High</x:v>
      </x:c>
      <x:c r="G41" s="15" t="str">
        <x:v>Editable PO exists</x:v>
      </x:c>
      <x:c r="H41" s="15" t="str">
        <x:v>Change permitted data; save</x:v>
      </x:c>
      <x:c r="I41" s="15" t="str">
        <x:v>Changes persist and history is recorded</x:v>
      </x:c>
      <x:c r="J41" s="15" t="str">
        <x:v>UI/API/DB</x:v>
      </x:c>
      <x:c r="K41" s="15" t="str">
        <x:v>Planned</x:v>
      </x:c>
    </x:row>
    <x:row r="42" ht="15" hidden="0" customHeight="1">
      <x:c r="A42" s="15" t="str">
        <x:v>PO-006</x:v>
      </x:c>
      <x:c r="B42" s="15" t="str">
        <x:v>PO-REQ-004</x:v>
      </x:c>
      <x:c r="C42" s="15" t="str">
        <x:v>Purchase Order</x:v>
      </x:c>
      <x:c r="D42" s="15" t="str">
        <x:v>Require reapproval after material value increase</x:v>
      </x:c>
      <x:c r="E42" s="15" t="str">
        <x:v>Risk/state</x:v>
      </x:c>
      <x:c r="F42" s="15" t="str">
        <x:v>Critical</x:v>
      </x:c>
      <x:c r="G42" s="15" t="str">
        <x:v>Approved PO exists</x:v>
      </x:c>
      <x:c r="H42" s="15" t="str">
        <x:v>Increase quantity/value and save</x:v>
      </x:c>
      <x:c r="I42" s="15" t="str">
        <x:v>PO leaves Approved and enters reapproval state</x:v>
      </x:c>
      <x:c r="J42" s="15" t="str">
        <x:v>UI/API/DB</x:v>
      </x:c>
      <x:c r="K42" s="15" t="str">
        <x:v>Planned</x:v>
      </x:c>
    </x:row>
    <x:row r="43" ht="15" hidden="0" customHeight="1">
      <x:c r="A43" s="15" t="str">
        <x:v>PO-007</x:v>
      </x:c>
      <x:c r="B43" s="15" t="str">
        <x:v>PO-REQ-004</x:v>
      </x:c>
      <x:c r="C43" s="15" t="str">
        <x:v>Purchase Order</x:v>
      </x:c>
      <x:c r="D43" s="15" t="str">
        <x:v>Preserve previous approval history after reapproval trigger</x:v>
      </x:c>
      <x:c r="E43" s="15" t="str">
        <x:v>Audit</x:v>
      </x:c>
      <x:c r="F43" s="15" t="str">
        <x:v>High</x:v>
      </x:c>
      <x:c r="G43" s="15" t="str">
        <x:v>Approved PO edited materially</x:v>
      </x:c>
      <x:c r="H43" s="15" t="str">
        <x:v>Open approval/status history</x:v>
      </x:c>
      <x:c r="I43" s="15" t="str">
        <x:v>Prior approval remains; new pending event recorded</x:v>
      </x:c>
      <x:c r="J43" s="15" t="str">
        <x:v>UI/API/DB</x:v>
      </x:c>
      <x:c r="K43" s="15" t="str">
        <x:v>Planned</x:v>
      </x:c>
    </x:row>
    <x:row r="44" ht="15" hidden="0" customHeight="1">
      <x:c r="A44" s="15" t="str">
        <x:v>PO-008</x:v>
      </x:c>
      <x:c r="B44" s="15" t="str">
        <x:v>PO-REQ-005</x:v>
      </x:c>
      <x:c r="C44" s="15" t="str">
        <x:v>Purchase Order</x:v>
      </x:c>
      <x:c r="D44" s="15" t="str">
        <x:v>Cancel eligible purchase order</x:v>
      </x:c>
      <x:c r="E44" s="15" t="str">
        <x:v>State transition</x:v>
      </x:c>
      <x:c r="F44" s="15" t="str">
        <x:v>High</x:v>
      </x:c>
      <x:c r="G44" s="15" t="str">
        <x:v>Eligible PO exists</x:v>
      </x:c>
      <x:c r="H44" s="15" t="str">
        <x:v>Cancel and confirm</x:v>
      </x:c>
      <x:c r="I44" s="15" t="str">
        <x:v>PO becomes Cancelled and downstream receipt is blocked</x:v>
      </x:c>
      <x:c r="J44" s="15" t="str">
        <x:v>UI/API/DB</x:v>
      </x:c>
      <x:c r="K44" s="15" t="str">
        <x:v>Planned</x:v>
      </x:c>
    </x:row>
    <x:row r="45" ht="15" hidden="0" customHeight="1">
      <x:c r="A45" s="15" t="str">
        <x:v>PO-009</x:v>
      </x:c>
      <x:c r="B45" s="15" t="str">
        <x:v>PO-REQ-006</x:v>
      </x:c>
      <x:c r="C45" s="15" t="str">
        <x:v>Purchase Order</x:v>
      </x:c>
      <x:c r="D45" s="15" t="str">
        <x:v>Prevent duplicate PO for same approved request</x:v>
      </x:c>
      <x:c r="E45" s="15" t="str">
        <x:v>Negative</x:v>
      </x:c>
      <x:c r="F45" s="15" t="str">
        <x:v>Critical</x:v>
      </x:c>
      <x:c r="G45" s="15" t="str">
        <x:v>Approved request already converted</x:v>
      </x:c>
      <x:c r="H45" s="15" t="str">
        <x:v>Attempt second conversion</x:v>
      </x:c>
      <x:c r="I45" s="15" t="str">
        <x:v>Duplicate PO rejected; original linkage retained</x:v>
      </x:c>
      <x:c r="J45" s="15" t="str">
        <x:v>UI/API/DB</x:v>
      </x:c>
      <x:c r="K45" s="15" t="str">
        <x:v>Planned</x:v>
      </x:c>
    </x:row>
    <x:row r="46" ht="15" hidden="0" customHeight="1">
      <x:c r="A46" s="15" t="str">
        <x:v>PO-010</x:v>
      </x:c>
      <x:c r="B46" s="15" t="str">
        <x:v>SYS-REQ-003</x:v>
      </x:c>
      <x:c r="C46" s="15" t="str">
        <x:v>Purchase Order</x:v>
      </x:c>
      <x:c r="D46" s="15" t="str">
        <x:v>Prevent duplicate PO on double submission</x:v>
      </x:c>
      <x:c r="E46" s="15" t="str">
        <x:v>Concurrency</x:v>
      </x:c>
      <x:c r="F46" s="15" t="str">
        <x:v>Critical</x:v>
      </x:c>
      <x:c r="G46" s="15" t="str">
        <x:v>Valid conversion action available</x:v>
      </x:c>
      <x:c r="H46" s="15" t="str">
        <x:v>Double-click or replay create</x:v>
      </x:c>
      <x:c r="I46" s="15" t="str">
        <x:v>At most one PO is committed</x:v>
      </x:c>
      <x:c r="J46" s="15" t="str">
        <x:v>API/DB</x:v>
      </x:c>
      <x:c r="K46" s="15" t="str">
        <x:v>Planned</x:v>
      </x:c>
    </x:row>
    <x:row r="47" ht="15" hidden="0" customHeight="1">
      <x:c r="A47" s="15" t="str">
        <x:v>GRN-001</x:v>
      </x:c>
      <x:c r="B47" s="15" t="str">
        <x:v>GRN-REQ-001</x:v>
      </x:c>
      <x:c r="C47" s="15" t="str">
        <x:v>Goods Receipt</x:v>
      </x:c>
      <x:c r="D47" s="15" t="str">
        <x:v>Receive full eligible PO quantity</x:v>
      </x:c>
      <x:c r="E47" s="15" t="str">
        <x:v>Positive</x:v>
      </x:c>
      <x:c r="F47" s="15" t="str">
        <x:v>Critical</x:v>
      </x:c>
      <x:c r="G47" s="15" t="str">
        <x:v>Approved/open PO; active warehouse</x:v>
      </x:c>
      <x:c r="H47" s="15" t="str">
        <x:v>Receive entire outstanding quantity</x:v>
      </x:c>
      <x:c r="I47" s="15" t="str">
        <x:v>GRN created; PO becomes fully received; stock updates once</x:v>
      </x:c>
      <x:c r="J47" s="15" t="str">
        <x:v>UI/API/DB</x:v>
      </x:c>
      <x:c r="K47" s="15" t="str">
        <x:v>Planned</x:v>
      </x:c>
    </x:row>
    <x:row r="48" ht="15" hidden="0" customHeight="1">
      <x:c r="A48" s="15" t="str">
        <x:v>GRN-002</x:v>
      </x:c>
      <x:c r="B48" s="15" t="str">
        <x:v>GRN-REQ-002</x:v>
      </x:c>
      <x:c r="C48" s="15" t="str">
        <x:v>Goods Receipt</x:v>
      </x:c>
      <x:c r="D48" s="15" t="str">
        <x:v>Receive partial PO quantity</x:v>
      </x:c>
      <x:c r="E48" s="15" t="str">
        <x:v>Positive</x:v>
      </x:c>
      <x:c r="F48" s="15" t="str">
        <x:v>Critical</x:v>
      </x:c>
      <x:c r="G48" s="15" t="str">
        <x:v>Open PO with outstanding quantity</x:v>
      </x:c>
      <x:c r="H48" s="15" t="str">
        <x:v>Receive part of ordered quantity</x:v>
      </x:c>
      <x:c r="I48" s="15" t="str">
        <x:v>Partial GRN created; remaining quantity is correct</x:v>
      </x:c>
      <x:c r="J48" s="15" t="str">
        <x:v>UI/API/DB</x:v>
      </x:c>
      <x:c r="K48" s="15" t="str">
        <x:v>Planned</x:v>
      </x:c>
    </x:row>
    <x:row r="49" ht="15" hidden="0" customHeight="1">
      <x:c r="A49" s="15" t="str">
        <x:v>GRN-003</x:v>
      </x:c>
      <x:c r="B49" s="15" t="str">
        <x:v>GRN-REQ-002</x:v>
      </x:c>
      <x:c r="C49" s="15" t="str">
        <x:v>Goods Receipt</x:v>
      </x:c>
      <x:c r="D49" s="15" t="str">
        <x:v>Complete remaining quantity after partial receipt</x:v>
      </x:c>
      <x:c r="E49" s="15" t="str">
        <x:v>Integration</x:v>
      </x:c>
      <x:c r="F49" s="15" t="str">
        <x:v>Critical</x:v>
      </x:c>
      <x:c r="G49" s="15" t="str">
        <x:v>Partially received PO exists</x:v>
      </x:c>
      <x:c r="H49" s="15" t="str">
        <x:v>Receive exact remaining quantity</x:v>
      </x:c>
      <x:c r="I49" s="15" t="str">
        <x:v>Second GRN created; PO becomes fully received</x:v>
      </x:c>
      <x:c r="J49" s="15" t="str">
        <x:v>UI/API/DB</x:v>
      </x:c>
      <x:c r="K49" s="15" t="str">
        <x:v>Planned</x:v>
      </x:c>
    </x:row>
    <x:row r="50" ht="15" hidden="0" customHeight="1">
      <x:c r="A50" s="15" t="str">
        <x:v>GRN-004</x:v>
      </x:c>
      <x:c r="B50" s="15" t="str">
        <x:v>GRN-REQ-003</x:v>
      </x:c>
      <x:c r="C50" s="15" t="str">
        <x:v>Goods Receipt</x:v>
      </x:c>
      <x:c r="D50" s="15" t="str">
        <x:v>Prevent over-receipt</x:v>
      </x:c>
      <x:c r="E50" s="15" t="str">
        <x:v>Negative</x:v>
      </x:c>
      <x:c r="F50" s="15" t="str">
        <x:v>Critical</x:v>
      </x:c>
      <x:c r="G50" s="15" t="str">
        <x:v>PO has known remaining quantity</x:v>
      </x:c>
      <x:c r="H50" s="15" t="str">
        <x:v>Enter quantity above remaining</x:v>
      </x:c>
      <x:c r="I50" s="15" t="str">
        <x:v>Receipt rejected; stock and PO unchanged</x:v>
      </x:c>
      <x:c r="J50" s="15" t="str">
        <x:v>UI/API/DB</x:v>
      </x:c>
      <x:c r="K50" s="15" t="str">
        <x:v>Planned</x:v>
      </x:c>
    </x:row>
    <x:row r="51" ht="15" hidden="0" customHeight="1">
      <x:c r="A51" s="15" t="str">
        <x:v>GRN-005</x:v>
      </x:c>
      <x:c r="B51" s="15" t="str">
        <x:v>GRN-REQ-003</x:v>
      </x:c>
      <x:c r="C51" s="15" t="str">
        <x:v>Goods Receipt</x:v>
      </x:c>
      <x:c r="D51" s="15" t="str">
        <x:v>Reject zero or negative receipt quantity</x:v>
      </x:c>
      <x:c r="E51" s="15" t="str">
        <x:v>Boundary</x:v>
      </x:c>
      <x:c r="F51" s="15" t="str">
        <x:v>Critical</x:v>
      </x:c>
      <x:c r="G51" s="15" t="str">
        <x:v>Eligible PO exists</x:v>
      </x:c>
      <x:c r="H51" s="15" t="str">
        <x:v>Submit zero then negative quantity</x:v>
      </x:c>
      <x:c r="I51" s="15" t="str">
        <x:v>Invalid values rejected; no GRN created</x:v>
      </x:c>
      <x:c r="J51" s="15" t="str">
        <x:v>UI/API</x:v>
      </x:c>
      <x:c r="K51" s="15" t="str">
        <x:v>Planned</x:v>
      </x:c>
    </x:row>
    <x:row r="52" ht="15" hidden="0" customHeight="1">
      <x:c r="A52" s="15" t="str">
        <x:v>GRN-006</x:v>
      </x:c>
      <x:c r="B52" s="15" t="str">
        <x:v>GRN-REQ-003</x:v>
      </x:c>
      <x:c r="C52" s="15" t="str">
        <x:v>Goods Receipt</x:v>
      </x:c>
      <x:c r="D52" s="15" t="str">
        <x:v>Prevent receipt against cancelled or unapproved PO</x:v>
      </x:c>
      <x:c r="E52" s="15" t="str">
        <x:v>Negative</x:v>
      </x:c>
      <x:c r="F52" s="15" t="str">
        <x:v>Critical</x:v>
      </x:c>
      <x:c r="G52" s="15" t="str">
        <x:v>Cancelled/unapproved PO exists</x:v>
      </x:c>
      <x:c r="H52" s="15" t="str">
        <x:v>Attempt receipt</x:v>
      </x:c>
      <x:c r="I52" s="15" t="str">
        <x:v>Receipt denied; inventory unchanged</x:v>
      </x:c>
      <x:c r="J52" s="15" t="str">
        <x:v>UI/API/DB</x:v>
      </x:c>
      <x:c r="K52" s="15" t="str">
        <x:v>Planned</x:v>
      </x:c>
    </x:row>
    <x:row r="53" ht="15" hidden="0" customHeight="1">
      <x:c r="A53" s="15" t="str">
        <x:v>GRN-007</x:v>
      </x:c>
      <x:c r="B53" s="15" t="str">
        <x:v>GRN-REQ-003</x:v>
      </x:c>
      <x:c r="C53" s="15" t="str">
        <x:v>Goods Receipt</x:v>
      </x:c>
      <x:c r="D53" s="15" t="str">
        <x:v>Prevent duplicate goods receipt submission</x:v>
      </x:c>
      <x:c r="E53" s="15" t="str">
        <x:v>Concurrency</x:v>
      </x:c>
      <x:c r="F53" s="15" t="str">
        <x:v>Critical</x:v>
      </x:c>
      <x:c r="G53" s="15" t="str">
        <x:v>Valid receipt ready</x:v>
      </x:c>
      <x:c r="H53" s="15" t="str">
        <x:v>Double-click or replay identical request</x:v>
      </x:c>
      <x:c r="I53" s="15" t="str">
        <x:v>One GRN and one inventory movement are committed</x:v>
      </x:c>
      <x:c r="J53" s="15" t="str">
        <x:v>API/DB</x:v>
      </x:c>
      <x:c r="K53" s="15" t="str">
        <x:v>Planned</x:v>
      </x:c>
    </x:row>
    <x:row r="54" ht="15" hidden="0" customHeight="1">
      <x:c r="A54" s="15" t="str">
        <x:v>GRN-008</x:v>
      </x:c>
      <x:c r="B54" s="15" t="str">
        <x:v>GRN-REQ-004</x:v>
      </x:c>
      <x:c r="C54" s="15" t="str">
        <x:v>Goods Receipt</x:v>
      </x:c>
      <x:c r="D54" s="15" t="str">
        <x:v>Verify receipt audit and references</x:v>
      </x:c>
      <x:c r="E54" s="15" t="str">
        <x:v>Audit</x:v>
      </x:c>
      <x:c r="F54" s="15" t="str">
        <x:v>High</x:v>
      </x:c>
      <x:c r="G54" s="15" t="str">
        <x:v>GRN exists</x:v>
      </x:c>
      <x:c r="H54" s="15" t="str">
        <x:v>Open details and query record</x:v>
      </x:c>
      <x:c r="I54" s="15" t="str">
        <x:v>GRN number, PO, warehouse, user and timestamp are correct</x:v>
      </x:c>
      <x:c r="J54" s="15" t="str">
        <x:v>UI/API/DB</x:v>
      </x:c>
      <x:c r="K54" s="15" t="str">
        <x:v>Planned</x:v>
      </x:c>
    </x:row>
    <x:row r="55" ht="15" hidden="0" customHeight="1">
      <x:c r="A55" s="15" t="str">
        <x:v>INV-001</x:v>
      </x:c>
      <x:c r="B55" s="15" t="str">
        <x:v>INV-REQ-001</x:v>
      </x:c>
      <x:c r="C55" s="15" t="str">
        <x:v>Inventory</x:v>
      </x:c>
      <x:c r="D55" s="15" t="str">
        <x:v>Increase on-hand stock after valid receipt</x:v>
      </x:c>
      <x:c r="E55" s="15" t="str">
        <x:v>Integration</x:v>
      </x:c>
      <x:c r="F55" s="15" t="str">
        <x:v>Critical</x:v>
      </x:c>
      <x:c r="G55" s="15" t="str">
        <x:v>Baseline stock known</x:v>
      </x:c>
      <x:c r="H55" s="15" t="str">
        <x:v>Post valid GRN and compare stock</x:v>
      </x:c>
      <x:c r="I55" s="15" t="str">
        <x:v>On-hand increases by accepted quantity exactly once</x:v>
      </x:c>
      <x:c r="J55" s="15" t="str">
        <x:v>API/DB</x:v>
      </x:c>
      <x:c r="K55" s="15" t="str">
        <x:v>Planned</x:v>
      </x:c>
    </x:row>
    <x:row r="56" ht="15" hidden="0" customHeight="1">
      <x:c r="A56" s="15" t="str">
        <x:v>INV-002</x:v>
      </x:c>
      <x:c r="B56" s="15" t="str">
        <x:v>INV-REQ-002</x:v>
      </x:c>
      <x:c r="C56" s="15" t="str">
        <x:v>Inventory</x:v>
      </x:c>
      <x:c r="D56" s="15" t="str">
        <x:v>Update only selected item and warehouse</x:v>
      </x:c>
      <x:c r="E56" s="15" t="str">
        <x:v>Integration</x:v>
      </x:c>
      <x:c r="F56" s="15" t="str">
        <x:v>Critical</x:v>
      </x:c>
      <x:c r="G56" s="15" t="str">
        <x:v>Multiple items/warehouses have baselines</x:v>
      </x:c>
      <x:c r="H56" s="15" t="str">
        <x:v>Receive item into target warehouse</x:v>
      </x:c>
      <x:c r="I56" s="15" t="str">
        <x:v>Only target item-location balance changes</x:v>
      </x:c>
      <x:c r="J56" s="15" t="str">
        <x:v>API/DB</x:v>
      </x:c>
      <x:c r="K56" s="15" t="str">
        <x:v>Planned</x:v>
      </x:c>
    </x:row>
    <x:row r="57" ht="15" hidden="0" customHeight="1">
      <x:c r="A57" s="15" t="str">
        <x:v>INV-003</x:v>
      </x:c>
      <x:c r="B57" s="15" t="str">
        <x:v>INV-REQ-003</x:v>
      </x:c>
      <x:c r="C57" s="15" t="str">
        <x:v>Inventory</x:v>
      </x:c>
      <x:c r="D57" s="15" t="str">
        <x:v>Create linked inventory transaction</x:v>
      </x:c>
      <x:c r="E57" s="15" t="str">
        <x:v>Audit</x:v>
      </x:c>
      <x:c r="F57" s="15" t="str">
        <x:v>High</x:v>
      </x:c>
      <x:c r="G57" s="15" t="str">
        <x:v>GRN posted</x:v>
      </x:c>
      <x:c r="H57" s="15" t="str">
        <x:v>Inspect inventory ledger/history</x:v>
      </x:c>
      <x:c r="I57" s="15" t="str">
        <x:v>Movement links to GRN/PO with correct quantity and timestamp</x:v>
      </x:c>
      <x:c r="J57" s="15" t="str">
        <x:v>UI/API/DB</x:v>
      </x:c>
      <x:c r="K57" s="15" t="str">
        <x:v>Planned</x:v>
      </x:c>
    </x:row>
    <x:row r="58" ht="15" hidden="0" customHeight="1">
      <x:c r="A58" s="15" t="str">
        <x:v>SEC-001</x:v>
      </x:c>
      <x:c r="B58" s="15" t="str">
        <x:v>SEC-REQ-001</x:v>
      </x:c>
      <x:c r="C58" s="15" t="str">
        <x:v>Security</x:v>
      </x:c>
      <x:c r="D58" s="15" t="str">
        <x:v>Reject missing, expired or invalid authentication token</x:v>
      </x:c>
      <x:c r="E58" s="15" t="str">
        <x:v>Authentication</x:v>
      </x:c>
      <x:c r="F58" s="15" t="str">
        <x:v>Critical</x:v>
      </x:c>
      <x:c r="G58" s="15" t="str">
        <x:v>Protected endpoint available</x:v>
      </x:c>
      <x:c r="H58" s="15" t="str">
        <x:v>Call endpoint without token, with invalid token and with expired token</x:v>
      </x:c>
      <x:c r="I58" s="15" t="str">
        <x:v>Every request is denied consistently without protected data disclosure</x:v>
      </x:c>
      <x:c r="J58" s="15" t="str">
        <x:v>API</x:v>
      </x:c>
      <x:c r="K58" s="15" t="str">
        <x:v>Planned</x:v>
      </x:c>
    </x:row>
    <x:row r="59" ht="15" hidden="0" customHeight="1">
      <x:c r="A59" s="15" t="str">
        <x:v>SEC-002</x:v>
      </x:c>
      <x:c r="B59" s="15" t="str">
        <x:v>SEC-REQ-001</x:v>
      </x:c>
      <x:c r="C59" s="15" t="str">
        <x:v>Security</x:v>
      </x:c>
      <x:c r="D59" s="15" t="str">
        <x:v>Invalidate session after logout</x:v>
      </x:c>
      <x:c r="E59" s="15" t="str">
        <x:v>Session</x:v>
      </x:c>
      <x:c r="F59" s="15" t="str">
        <x:v>High</x:v>
      </x:c>
      <x:c r="G59" s="15" t="str">
        <x:v>Authenticated user session exists</x:v>
      </x:c>
      <x:c r="H59" s="15" t="str">
        <x:v>Logout then reuse previous session/token where applicable</x:v>
      </x:c>
      <x:c r="I59" s="15" t="str">
        <x:v>Session is no longer accepted according to the configured token model</x:v>
      </x:c>
      <x:c r="J59" s="15" t="str">
        <x:v>UI/API</x:v>
      </x:c>
      <x:c r="K59" s="15" t="str">
        <x:v>Planned</x:v>
      </x:c>
    </x:row>
    <x:row r="60" ht="15" hidden="0" customHeight="1">
      <x:c r="A60" s="15" t="str">
        <x:v>SEC-003</x:v>
      </x:c>
      <x:c r="B60" s="15" t="str">
        <x:v>SEC-REQ-002</x:v>
      </x:c>
      <x:c r="C60" s="15" t="str">
        <x:v>Security</x:v>
      </x:c>
      <x:c r="D60" s="15" t="str">
        <x:v>Prevent horizontal object-level access</x:v>
      </x:c>
      <x:c r="E60" s="15" t="str">
        <x:v>Authorisation</x:v>
      </x:c>
      <x:c r="F60" s="15" t="str">
        <x:v>Critical</x:v>
      </x:c>
      <x:c r="G60" s="15" t="str">
        <x:v>Two users have different procurement records</x:v>
      </x:c>
      <x:c r="H60" s="15" t="str">
        <x:v>Change document identifier to another user's restricted object</x:v>
      </x:c>
      <x:c r="I60" s="15" t="str">
        <x:v>Access is denied without revealing restricted object content</x:v>
      </x:c>
      <x:c r="J60" s="15" t="str">
        <x:v>API</x:v>
      </x:c>
      <x:c r="K60" s="15" t="str">
        <x:v>Planned</x:v>
      </x:c>
    </x:row>
    <x:row r="61" ht="15" hidden="0" customHeight="1">
      <x:c r="A61" s="15" t="str">
        <x:v>SEC-004</x:v>
      </x:c>
      <x:c r="B61" s="15" t="str">
        <x:v>SEC-REQ-002</x:v>
      </x:c>
      <x:c r="C61" s="15" t="str">
        <x:v>Security</x:v>
      </x:c>
      <x:c r="D61" s="15" t="str">
        <x:v>Prevent privilege escalation through direct API calls</x:v>
      </x:c>
      <x:c r="E61" s="15" t="str">
        <x:v>Authorisation</x:v>
      </x:c>
      <x:c r="F61" s="15" t="str">
        <x:v>Critical</x:v>
      </x:c>
      <x:c r="G61" s="15" t="str">
        <x:v>Requester/non-approver authenticated</x:v>
      </x:c>
      <x:c r="H61" s="15" t="str">
        <x:v>Call approve, cancel or status endpoints reserved for another role</x:v>
      </x:c>
      <x:c r="I61" s="15" t="str">
        <x:v>Action is denied; document and audit state remain correct</x:v>
      </x:c>
      <x:c r="J61" s="15" t="str">
        <x:v>API/DB</x:v>
      </x:c>
      <x:c r="K61" s="15" t="str">
        <x:v>Planned</x:v>
      </x:c>
    </x:row>
    <x:row r="62" ht="15" hidden="0" customHeight="1">
      <x:c r="A62" s="15" t="str">
        <x:v>SEC-005</x:v>
      </x:c>
      <x:c r="B62" s="15" t="str">
        <x:v>SEC-REQ-003</x:v>
      </x:c>
      <x:c r="C62" s="15" t="str">
        <x:v>Security</x:v>
      </x:c>
      <x:c r="D62" s="15" t="str">
        <x:v>Reject SQL-injection-style input safely</x:v>
      </x:c>
      <x:c r="E62" s="15" t="str">
        <x:v>Input security</x:v>
      </x:c>
      <x:c r="F62" s="15" t="str">
        <x:v>Critical</x:v>
      </x:c>
      <x:c r="G62" s="15" t="str">
        <x:v>Synthetic malicious strings prepared</x:v>
      </x:c>
      <x:c r="H62" s="15" t="str">
        <x:v>Submit payloads containing SQL metacharacters in supported text/search fields</x:v>
      </x:c>
      <x:c r="I62" s="15" t="str">
        <x:v>Input is safely handled; no query manipulation, data leakage or server error occurs</x:v>
      </x:c>
      <x:c r="J62" s="15" t="str">
        <x:v>UI/API/DB</x:v>
      </x:c>
      <x:c r="K62" s="15" t="str">
        <x:v>Planned</x:v>
      </x:c>
    </x:row>
    <x:row r="63" ht="15" hidden="0" customHeight="1">
      <x:c r="A63" s="15" t="str">
        <x:v>SEC-006</x:v>
      </x:c>
      <x:c r="B63" s="15" t="str">
        <x:v>SEC-REQ-003</x:v>
      </x:c>
      <x:c r="C63" s="15" t="str">
        <x:v>Security</x:v>
      </x:c>
      <x:c r="D63" s="15" t="str">
        <x:v>Prevent stored and reflected script execution</x:v>
      </x:c>
      <x:c r="E63" s="15" t="str">
        <x:v>Input security</x:v>
      </x:c>
      <x:c r="F63" s="15" t="str">
        <x:v>Critical</x:v>
      </x:c>
      <x:c r="G63" s="15" t="str">
        <x:v>Synthetic script payload prepared</x:v>
      </x:c>
      <x:c r="H63" s="15" t="str">
        <x:v>Submit payload in supplier/request text fields and render it in list/details</x:v>
      </x:c>
      <x:c r="I63" s="15" t="str">
        <x:v>Payload is encoded/sanitised; no script executes</x:v>
      </x:c>
      <x:c r="J63" s="15" t="str">
        <x:v>UI/API</x:v>
      </x:c>
      <x:c r="K63" s="15" t="str">
        <x:v>Planned</x:v>
      </x:c>
    </x:row>
    <x:row r="64" ht="15" hidden="0" customHeight="1">
      <x:c r="A64" s="15" t="str">
        <x:v>SEC-007</x:v>
      </x:c>
      <x:c r="B64" s="15" t="str">
        <x:v>SEC-REQ-004</x:v>
      </x:c>
      <x:c r="C64" s="15" t="str">
        <x:v>Security</x:v>
      </x:c>
      <x:c r="D64" s="15" t="str">
        <x:v>Verify cross-origin request policy</x:v>
      </x:c>
      <x:c r="E64" s="15" t="str">
        <x:v>CORS/CSRF</x:v>
      </x:c>
      <x:c r="F64" s="15" t="str">
        <x:v>High</x:v>
      </x:c>
      <x:c r="G64" s="15" t="str">
        <x:v>Approved and unapproved origins identified</x:v>
      </x:c>
      <x:c r="H64" s="15" t="str">
        <x:v>Send preflight and state-changing requests from disallowed origin</x:v>
      </x:c>
      <x:c r="I64" s="15" t="str">
        <x:v>Disallowed origin is rejected; allowed origin remains functional</x:v>
      </x:c>
      <x:c r="J64" s="15" t="str">
        <x:v>API</x:v>
      </x:c>
      <x:c r="K64" s="15" t="str">
        <x:v>Planned</x:v>
      </x:c>
    </x:row>
    <x:row r="65" ht="15" hidden="0" customHeight="1">
      <x:c r="A65" s="15" t="str">
        <x:v>SEC-008</x:v>
      </x:c>
      <x:c r="B65" s="15" t="str">
        <x:v>SEC-REQ-004</x:v>
      </x:c>
      <x:c r="C65" s="15" t="str">
        <x:v>Security</x:v>
      </x:c>
      <x:c r="D65" s="15" t="str">
        <x:v>Verify CSRF protection for cookie-based state changes</x:v>
      </x:c>
      <x:c r="E65" s="15" t="str">
        <x:v>CORS/CSRF</x:v>
      </x:c>
      <x:c r="F65" s="15" t="str">
        <x:v>High</x:v>
      </x:c>
      <x:c r="G65" s="15" t="str">
        <x:v>Authentication model confirmed</x:v>
      </x:c>
      <x:c r="H65" s="15" t="str">
        <x:v>Attempt forged cross-site state-changing request</x:v>
      </x:c>
      <x:c r="I65" s="15" t="str">
        <x:v>Request is rejected or rendered non-exploitable by the chosen authentication design</x:v>
      </x:c>
      <x:c r="J65" s="15" t="str">
        <x:v>API</x:v>
      </x:c>
      <x:c r="K65" s="15" t="str">
        <x:v>Planned</x:v>
      </x:c>
    </x:row>
    <x:row r="66" ht="15" hidden="0" customHeight="1">
      <x:c r="A66" s="15" t="str">
        <x:v>SEC-009</x:v>
      </x:c>
      <x:c r="B66" s="15" t="str">
        <x:v>SEC-REQ-005</x:v>
      </x:c>
      <x:c r="C66" s="15" t="str">
        <x:v>Security</x:v>
      </x:c>
      <x:c r="D66" s="15" t="str">
        <x:v>Prevent secrets and sensitive data in errors and logs</x:v>
      </x:c>
      <x:c r="E66" s="15" t="str">
        <x:v>Data protection</x:v>
      </x:c>
      <x:c r="F66" s="15" t="str">
        <x:v>Critical</x:v>
      </x:c>
      <x:c r="G66" s="15" t="str">
        <x:v>Safe access to test logs available</x:v>
      </x:c>
      <x:c r="H66" s="15" t="str">
        <x:v>Trigger validation and server errors; inspect response and permitted logs</x:v>
      </x:c>
      <x:c r="I66" s="15" t="str">
        <x:v>No password, token, cookie, secret, stack trace or unnecessary personal data appears</x:v>
      </x:c>
      <x:c r="J66" s="15" t="str">
        <x:v>API/Logs</x:v>
      </x:c>
      <x:c r="K66" s="15" t="str">
        <x:v>Planned</x:v>
      </x:c>
    </x:row>
    <x:row r="67" ht="15" hidden="0" customHeight="1">
      <x:c r="A67" s="15" t="str">
        <x:v>SEC-010</x:v>
      </x:c>
      <x:c r="B67" s="15" t="str">
        <x:v>SEC-REQ-006</x:v>
      </x:c>
      <x:c r="C67" s="15" t="str">
        <x:v>Security</x:v>
      </x:c>
      <x:c r="D67" s="15" t="str">
        <x:v>Enforce rate limiting on authentication and sensitive actions</x:v>
      </x:c>
      <x:c r="E67" s="15" t="str">
        <x:v>Abuse protection</x:v>
      </x:c>
      <x:c r="F67" s="15" t="str">
        <x:v>High</x:v>
      </x:c>
      <x:c r="G67" s="15" t="str">
        <x:v>Rate-limit policy configured</x:v>
      </x:c>
      <x:c r="H67" s="15" t="str">
        <x:v>Send repeated login/approval/create requests above threshold</x:v>
      </x:c>
      <x:c r="I67" s="15" t="str">
        <x:v>Requests are throttled safely without corrupting transactions</x:v>
      </x:c>
      <x:c r="J67" s="15" t="str">
        <x:v>API</x:v>
      </x:c>
      <x:c r="K67" s="15" t="str">
        <x:v>Planned</x:v>
      </x:c>
    </x:row>
    <x:row r="68" ht="21.600000381469727" hidden="0" customHeight="1">
      <x:c r="A68" s="15" t="str">
        <x:v>SEC-011</x:v>
      </x:c>
      <x:c r="B68" s="15" t="str">
        <x:v>SEC-REQ-007</x:v>
      </x:c>
      <x:c r="C68" s="15" t="str">
        <x:v>Security</x:v>
      </x:c>
      <x:c r="D68" s="15" t="str">
        <x:v>Protect approval and status audit history from ordinary modification</x:v>
      </x:c>
      <x:c r="E68" s="15" t="str">
        <x:v>Audit integrity</x:v>
      </x:c>
      <x:c r="F68" s="15" t="str">
        <x:v>Critical</x:v>
      </x:c>
      <x:c r="G68" s="15" t="str">
        <x:v>Approval/status history exists</x:v>
      </x:c>
      <x:c r="H68" s="15" t="str">
        <x:v>Attempt update/delete through UI and non-authorised API paths</x:v>
      </x:c>
      <x:c r="I68" s="15" t="str">
        <x:v>Audit events cannot be altered by ordinary users; attempt is rejected/logged</x:v>
      </x:c>
      <x:c r="J68" s="15" t="str">
        <x:v>UI/API/DB</x:v>
      </x:c>
      <x:c r="K68" s="15" t="str">
        <x:v>Planned</x:v>
      </x:c>
    </x:row>
    <x:row r="69" ht="15" hidden="0" customHeight="1">
      <x:c r="A69" s="15" t="str">
        <x:v>SEC-012</x:v>
      </x:c>
      <x:c r="B69" s="15" t="str">
        <x:v>SEC-REQ-008</x:v>
      </x:c>
      <x:c r="C69" s="15" t="str">
        <x:v>Security</x:v>
      </x:c>
      <x:c r="D69" s="15" t="str">
        <x:v>Prevent mass assignment of protected fields</x:v>
      </x:c>
      <x:c r="E69" s="15" t="str">
        <x:v>API security</x:v>
      </x:c>
      <x:c r="F69" s="15" t="str">
        <x:v>Critical</x:v>
      </x:c>
      <x:c r="G69" s="15" t="str">
        <x:v>Create/update payload available</x:v>
      </x:c>
      <x:c r="H69" s="15" t="str">
        <x:v>Add fields such as status, approver, created_by or privileged role to payload</x:v>
      </x:c>
      <x:c r="I69" s="15" t="str">
        <x:v>Protected fields are ignored or rejected; server-controlled values remain correct</x:v>
      </x:c>
      <x:c r="J69" s="15" t="str">
        <x:v>API/DB</x:v>
      </x:c>
      <x:c r="K69" s="15" t="str">
        <x:v>Planned</x:v>
      </x:c>
    </x:row>
    <x:row r="70" ht="15" hidden="0" customHeight="1">
      <x:c r="A70" s="15" t="str">
        <x:v>SEC-013</x:v>
      </x:c>
      <x:c r="B70" s="15" t="str">
        <x:v>SEC-REQ-009</x:v>
      </x:c>
      <x:c r="C70" s="15" t="str">
        <x:v>Security</x:v>
      </x:c>
      <x:c r="D70" s="15" t="str">
        <x:v>Verify essential browser and transport security headers</x:v>
      </x:c>
      <x:c r="E70" s="15" t="str">
        <x:v>Configuration</x:v>
      </x:c>
      <x:c r="F70" s="15" t="str">
        <x:v>High</x:v>
      </x:c>
      <x:c r="G70" s="15" t="str">
        <x:v>Test environment served through deployment configuration</x:v>
      </x:c>
      <x:c r="H70" s="15" t="str">
        <x:v>Inspect HTTPS and response headers</x:v>
      </x:c>
      <x:c r="I70" s="15" t="str">
        <x:v>Configured HTTPS and applicable security headers meet the approved baseline</x:v>
      </x:c>
      <x:c r="J70" s="15" t="str">
        <x:v>API/Browser</x:v>
      </x:c>
      <x:c r="K70" s="15" t="str">
        <x:v>Planned</x:v>
      </x:c>
    </x:row>
    <x:row r="71" ht="21.600000381469727" hidden="0" customHeight="1">
      <x:c r="A71" s="15" t="str">
        <x:v>SEC-014</x:v>
      </x:c>
      <x:c r="B71" s="15" t="str">
        <x:v>SEC-REQ-010</x:v>
      </x:c>
      <x:c r="C71" s="15" t="str">
        <x:v>Security</x:v>
      </x:c>
      <x:c r="D71" s="15" t="str">
        <x:v>Scan dependencies and repository for critical vulnerabilities and secrets</x:v>
      </x:c>
      <x:c r="E71" s="15" t="str">
        <x:v>Supply chain</x:v>
      </x:c>
      <x:c r="F71" s="15" t="str">
        <x:v>High</x:v>
      </x:c>
      <x:c r="G71" s="15" t="str">
        <x:v>Approved scanners configured</x:v>
      </x:c>
      <x:c r="H71" s="15" t="str">
        <x:v>Run dependency and secret scanning against the release candidate</x:v>
      </x:c>
      <x:c r="I71" s="15" t="str">
        <x:v>No unresolved critical finding or committed secret remains</x:v>
      </x:c>
      <x:c r="J71" s="15" t="str">
        <x:v>CI/CD</x:v>
      </x:c>
      <x:c r="K71" s="15" t="str">
        <x:v>Planned</x:v>
      </x:c>
    </x:row>
    <x:row r="72" ht="15" hidden="0" customHeight="1">
      <x:c r="A72" s="15" t="str">
        <x:v>SYS-001</x:v>
      </x:c>
      <x:c r="B72" s="15" t="str">
        <x:v>SYS-REQ-001</x:v>
      </x:c>
      <x:c r="C72" s="15" t="str">
        <x:v>Cross-cutting</x:v>
      </x:c>
      <x:c r="D72" s="15" t="str">
        <x:v>Handle backend validation error safely</x:v>
      </x:c>
      <x:c r="E72" s="15" t="str">
        <x:v>Error handling</x:v>
      </x:c>
      <x:c r="F72" s="15" t="str">
        <x:v>High</x:v>
      </x:c>
      <x:c r="G72" s="15" t="str">
        <x:v>Invalid request prepared</x:v>
      </x:c>
      <x:c r="H72" s="15" t="str">
        <x:v>Submit invalid payload</x:v>
      </x:c>
      <x:c r="I72" s="15" t="str">
        <x:v>Useful error shown; no stack trace or secrets exposed</x:v>
      </x:c>
      <x:c r="J72" s="15" t="str">
        <x:v>UI/API</x:v>
      </x:c>
      <x:c r="K72" s="15" t="str">
        <x:v>Planned</x:v>
      </x:c>
    </x:row>
    <x:row r="73" ht="15" hidden="0" customHeight="1">
      <x:c r="A73" s="15" t="str">
        <x:v>SYS-002</x:v>
      </x:c>
      <x:c r="B73" s="15" t="str">
        <x:v>SYS-REQ-002</x:v>
      </x:c>
      <x:c r="C73" s="15" t="str">
        <x:v>Cross-cutting</x:v>
      </x:c>
      <x:c r="D73" s="15" t="str">
        <x:v>Maintain complete document status history</x:v>
      </x:c>
      <x:c r="E73" s="15" t="str">
        <x:v>Audit</x:v>
      </x:c>
      <x:c r="F73" s="15" t="str">
        <x:v>High</x:v>
      </x:c>
      <x:c r="G73" s="15" t="str">
        <x:v>Document moved through multiple states</x:v>
      </x:c>
      <x:c r="H73" s="15" t="str">
        <x:v>Review chronological history</x:v>
      </x:c>
      <x:c r="I73" s="15" t="str">
        <x:v>Every valid transition has actor, time, from/to state</x:v>
      </x:c>
      <x:c r="J73" s="15" t="str">
        <x:v>API/DB</x:v>
      </x:c>
      <x:c r="K73" s="15" t="str">
        <x:v>Planned</x:v>
      </x:c>
    </x:row>
    <x:row r="74" ht="15" hidden="0" customHeight="1">
      <x:c r="A74" s="15" t="str">
        <x:v>SYS-003</x:v>
      </x:c>
      <x:c r="B74" s="15" t="str">
        <x:v>SYS-REQ-004</x:v>
      </x:c>
      <x:c r="C74" s="15" t="str">
        <x:v>Cross-cutting</x:v>
      </x:c>
      <x:c r="D74" s="15" t="str">
        <x:v>Block unauthenticated procurement API access</x:v>
      </x:c>
      <x:c r="E74" s="15" t="str">
        <x:v>Security</x:v>
      </x:c>
      <x:c r="F74" s="15" t="str">
        <x:v>Critical</x:v>
      </x:c>
      <x:c r="G74" s="15" t="str">
        <x:v>No valid session/token</x:v>
      </x:c>
      <x:c r="H74" s="15" t="str">
        <x:v>Call protected endpoints</x:v>
      </x:c>
      <x:c r="I74" s="15" t="str">
        <x:v>Access denied consistently; no data disclosed</x:v>
      </x:c>
      <x:c r="J74" s="15" t="str">
        <x:v>API</x:v>
      </x:c>
      <x:c r="K74" s="15" t="str">
        <x:v>Planned</x:v>
      </x:c>
    </x:row>
    <x:row r="75" ht="15" hidden="0" customHeight="1">
      <x:c r="A75" s="15" t="str">
        <x:v>SYS-004</x:v>
      </x:c>
      <x:c r="B75" s="15" t="str">
        <x:v>SYS-REQ-003</x:v>
      </x:c>
      <x:c r="C75" s="15" t="str">
        <x:v>Cross-cutting</x:v>
      </x:c>
      <x:c r="D75" s="15" t="str">
        <x:v>Preserve transaction integrity when downstream update fails</x:v>
      </x:c>
      <x:c r="E75" s="15" t="str">
        <x:v>Recovery</x:v>
      </x:c>
      <x:c r="F75" s="15" t="str">
        <x:v>Critical</x:v>
      </x:c>
      <x:c r="G75" s="15" t="str">
        <x:v>Failure can be simulated safely</x:v>
      </x:c>
      <x:c r="H75" s="15" t="str">
        <x:v>Trigger failure during multi-record operation</x:v>
      </x:c>
      <x:c r="I75" s="15" t="str">
        <x:v>Transaction rolls back or enters recoverable documented state</x:v>
      </x:c>
      <x:c r="J75" s="15" t="str">
        <x:v>API/DB</x:v>
      </x:c>
      <x:c r="K75" s="15" t="str">
        <x:v>Planned</x:v>
      </x:c>
    </x:row>
    <x:row r="76" ht="15" hidden="0" customHeight="1">
      <x:c r="A76" s="15" t="str">
        <x:v>E2E-001</x:v>
      </x:c>
      <x:c r="B76" s="15" t="str">
        <x:v>E2E-REQ-001</x:v>
      </x:c>
      <x:c r="C76" s="15" t="str">
        <x:v>End-to-End</x:v>
      </x:c>
      <x:c r="D76" s="15" t="str">
        <x:v>Complete approved procurement flow through inventory</x:v>
      </x:c>
      <x:c r="E76" s="15" t="str">
        <x:v>End-to-end</x:v>
      </x:c>
      <x:c r="F76" s="15" t="str">
        <x:v>Critical</x:v>
      </x:c>
      <x:c r="G76" s="15" t="str">
        <x:v>Authorised test users; master data available</x:v>
      </x:c>
      <x:c r="H76" s="15" t="str">
        <x:v>Create supplier; create/submit/approve PR; create/approve PO; receive goods; verify inventory</x:v>
      </x:c>
      <x:c r="I76" s="15" t="str">
        <x:v>All documents link correctly; statuses and stock are correct; no duplicates</x:v>
      </x:c>
      <x:c r="J76" s="15" t="str">
        <x:v>UI/API/DB</x:v>
      </x:c>
      <x:c r="K76" s="15" t="str">
        <x:v>Planned</x:v>
      </x:c>
    </x:row>
    <x:row r="77" ht="15" hidden="0" customHeight="1">
      <x:c r="A77" s="16" t="str">
        <x:v>E2E-002</x:v>
      </x:c>
      <x:c r="B77" s="16" t="str">
        <x:v>E2E-REQ-001</x:v>
      </x:c>
      <x:c r="C77" s="16" t="str">
        <x:v>End-to-End</x:v>
      </x:c>
      <x:c r="D77" s="16" t="str">
        <x:v>Reject/cancel path creates no PO or inventory</x:v>
      </x:c>
      <x:c r="E77" s="16" t="str">
        <x:v>End-to-end negative</x:v>
      </x:c>
      <x:c r="F77" s="16" t="str">
        <x:v>Critical</x:v>
      </x:c>
      <x:c r="G77" s="16" t="str">
        <x:v>Authorised test users</x:v>
      </x:c>
      <x:c r="H77" s="16" t="str">
        <x:v>Create and submit PR; reject or cancel; attempt downstream actions</x:v>
      </x:c>
      <x:c r="I77" s="16" t="str">
        <x:v>No PO/GRN/stock movement created; audit trail complete</x:v>
      </x:c>
      <x:c r="J77" s="16" t="str">
        <x:v>UI/API/DB</x:v>
      </x:c>
      <x:c r="K77" s="16" t="str">
        <x:v>Planned</x:v>
      </x:c>
    </x:row>
  </x:sheetData>
  <x:mergeCells>
    <x:mergeCell ref="A1:K1"/>
  </x:mergeCells>
  <x:dataValidations count="2">
    <x:dataValidation type="list" sqref="F4:F77">
      <x:formula1>"Critical,High,Medium,Low"</x:formula1>
    </x:dataValidation>
    <x:dataValidation type="list" sqref="K4:K77">
      <x:formula1>"Planned,Manual Only,To Automate,Automated,Deferred"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5" hidden="0" customWidth="1"/>
    <x:col min="5" max="5" width="12" hidden="0" customWidth="1"/>
    <x:col min="6" max="6" width="18" hidden="0" customWidth="1"/>
    <x:col min="7" max="7" width="14" hidden="0" customWidth="1"/>
    <x:col min="8" max="8" width="34" hidden="0" customWidth="1"/>
  </x:cols>
  <x:sheetData>
    <x:row r="1" ht="21.600000381469727" hidden="0" customHeight="1">
      <x:c r="A1" s="3" t="str">
        <x:v>Requirements Traceability Matrix</x:v>
      </x:c>
      <x:c r="B1" s="3"/>
      <x:c r="C1" s="3"/>
      <x:c r="D1" s="3"/>
      <x:c r="E1" s="3"/>
      <x:c r="F1" s="3"/>
      <x:c r="G1" s="3"/>
      <x:c r="H1" s="3"/>
    </x:row>
    <x:row r="2"/>
    <x:row r="3" ht="15" hidden="0" customHeight="1">
      <x:c r="A3" s="31" t="str">
        <x:v>Requirement ID</x:v>
      </x:c>
      <x:c r="B3" s="32" t="str">
        <x:v>Area</x:v>
      </x:c>
      <x:c r="C3" s="32" t="str">
        <x:v>Risk</x:v>
      </x:c>
      <x:c r="D3" s="32" t="str">
        <x:v>Test Case IDs</x:v>
      </x:c>
      <x:c r="E3" s="32" t="str">
        <x:v>Case count</x:v>
      </x:c>
      <x:c r="F3" s="32" t="str">
        <x:v>Coverage status</x:v>
      </x:c>
      <x:c r="G3" s="32" t="str">
        <x:v>Open defects</x:v>
      </x:c>
      <x:c r="H3" s="33" t="str">
        <x:v>Notes</x:v>
      </x:c>
    </x:row>
    <x:row r="4" ht="15" hidden="0" customHeight="1">
      <x:c r="A4" s="14" t="str">
        <x:v>SUP-REQ-001</x:v>
      </x:c>
      <x:c r="B4" s="14" t="str">
        <x:v>Supplier</x:v>
      </x:c>
      <x:c r="C4" s="14" t="str">
        <x:v>Critical</x:v>
      </x:c>
      <x:c r="D4" s="14" t="str">
        <x:v>SUP-001</x:v>
      </x:c>
      <x:c r="E4" s="14" t="n">
        <x:v>1</x:v>
      </x:c>
      <x:c r="F4" s="14" t="str">
        <x:v>Covered</x:v>
      </x:c>
      <x:c r="G4" s="14" t="n">
        <x:v>0</x:v>
      </x:c>
      <x:c r="H4" s="14" t="str"/>
    </x:row>
    <x:row r="5" ht="15" hidden="0" customHeight="1">
      <x:c r="A5" s="15" t="str">
        <x:v>SUP-REQ-002</x:v>
      </x:c>
      <x:c r="B5" s="15" t="str">
        <x:v>Supplier</x:v>
      </x:c>
      <x:c r="C5" s="15" t="str">
        <x:v>High</x:v>
      </x:c>
      <x:c r="D5" s="15" t="str">
        <x:v>SUP-002, SUP-003, SUP-010</x:v>
      </x:c>
      <x:c r="E5" s="15" t="n">
        <x:v>3</x:v>
      </x:c>
      <x:c r="F5" s="15" t="str">
        <x:v>Covered</x:v>
      </x:c>
      <x:c r="G5" s="15" t="n">
        <x:v>0</x:v>
      </x:c>
      <x:c r="H5" s="15" t="str"/>
    </x:row>
    <x:row r="6" ht="15" hidden="0" customHeight="1">
      <x:c r="A6" s="15" t="str">
        <x:v>SUP-REQ-003</x:v>
      </x:c>
      <x:c r="B6" s="15" t="str">
        <x:v>Supplier</x:v>
      </x:c>
      <x:c r="C6" s="15" t="str">
        <x:v>Critical</x:v>
      </x:c>
      <x:c r="D6" s="15" t="str">
        <x:v>SUP-004</x:v>
      </x:c>
      <x:c r="E6" s="15" t="n">
        <x:v>1</x:v>
      </x:c>
      <x:c r="F6" s="15" t="str">
        <x:v>Covered</x:v>
      </x:c>
      <x:c r="G6" s="15" t="n">
        <x:v>0</x:v>
      </x:c>
      <x:c r="H6" s="15" t="str"/>
    </x:row>
    <x:row r="7" ht="15" hidden="0" customHeight="1">
      <x:c r="A7" s="15" t="str">
        <x:v>SUP-REQ-004</x:v>
      </x:c>
      <x:c r="B7" s="15" t="str">
        <x:v>Supplier</x:v>
      </x:c>
      <x:c r="C7" s="15" t="str">
        <x:v>High</x:v>
      </x:c>
      <x:c r="D7" s="15" t="str">
        <x:v>SUP-005, SUP-006</x:v>
      </x:c>
      <x:c r="E7" s="15" t="n">
        <x:v>2</x:v>
      </x:c>
      <x:c r="F7" s="15" t="str">
        <x:v>Covered</x:v>
      </x:c>
      <x:c r="G7" s="15" t="n">
        <x:v>0</x:v>
      </x:c>
      <x:c r="H7" s="15" t="str"/>
    </x:row>
    <x:row r="8" ht="15" hidden="0" customHeight="1">
      <x:c r="A8" s="15" t="str">
        <x:v>SUP-REQ-005</x:v>
      </x:c>
      <x:c r="B8" s="15" t="str">
        <x:v>Supplier</x:v>
      </x:c>
      <x:c r="C8" s="15" t="str">
        <x:v>Critical</x:v>
      </x:c>
      <x:c r="D8" s="15" t="str">
        <x:v>SUP-007, SUP-008, SUP-009</x:v>
      </x:c>
      <x:c r="E8" s="15" t="n">
        <x:v>3</x:v>
      </x:c>
      <x:c r="F8" s="15" t="str">
        <x:v>Covered</x:v>
      </x:c>
      <x:c r="G8" s="15" t="n">
        <x:v>0</x:v>
      </x:c>
      <x:c r="H8" s="15" t="str"/>
    </x:row>
    <x:row r="9" ht="15" hidden="0" customHeight="1">
      <x:c r="A9" s="15" t="str">
        <x:v>WH-REQ-001</x:v>
      </x:c>
      <x:c r="B9" s="15" t="str">
        <x:v>Warehouse</x:v>
      </x:c>
      <x:c r="C9" s="15" t="str">
        <x:v>High</x:v>
      </x:c>
      <x:c r="D9" s="15" t="str">
        <x:v>WH-001, WH-003</x:v>
      </x:c>
      <x:c r="E9" s="15" t="n">
        <x:v>2</x:v>
      </x:c>
      <x:c r="F9" s="15" t="str">
        <x:v>Covered</x:v>
      </x:c>
      <x:c r="G9" s="15" t="n">
        <x:v>0</x:v>
      </x:c>
      <x:c r="H9" s="15" t="str"/>
    </x:row>
    <x:row r="10" ht="15" hidden="0" customHeight="1">
      <x:c r="A10" s="15" t="str">
        <x:v>WH-REQ-002</x:v>
      </x:c>
      <x:c r="B10" s="15" t="str">
        <x:v>Warehouse</x:v>
      </x:c>
      <x:c r="C10" s="15" t="str">
        <x:v>High</x:v>
      </x:c>
      <x:c r="D10" s="15" t="str">
        <x:v>WH-002</x:v>
      </x:c>
      <x:c r="E10" s="15" t="n">
        <x:v>1</x:v>
      </x:c>
      <x:c r="F10" s="15" t="str">
        <x:v>Covered</x:v>
      </x:c>
      <x:c r="G10" s="15" t="n">
        <x:v>0</x:v>
      </x:c>
      <x:c r="H10" s="15" t="str"/>
    </x:row>
    <x:row r="11" ht="15" hidden="0" customHeight="1">
      <x:c r="A11" s="15" t="str">
        <x:v>PR-REQ-001</x:v>
      </x:c>
      <x:c r="B11" s="15" t="str">
        <x:v>Purchase Request</x:v>
      </x:c>
      <x:c r="C11" s="15" t="str">
        <x:v>Critical</x:v>
      </x:c>
      <x:c r="D11" s="15" t="str">
        <x:v>PR-001</x:v>
      </x:c>
      <x:c r="E11" s="15" t="n">
        <x:v>1</x:v>
      </x:c>
      <x:c r="F11" s="15" t="str">
        <x:v>Covered</x:v>
      </x:c>
      <x:c r="G11" s="15" t="n">
        <x:v>0</x:v>
      </x:c>
      <x:c r="H11" s="15" t="str"/>
    </x:row>
    <x:row r="12" ht="15" hidden="0" customHeight="1">
      <x:c r="A12" s="15" t="str">
        <x:v>PR-REQ-002</x:v>
      </x:c>
      <x:c r="B12" s="15" t="str">
        <x:v>Purchase Request</x:v>
      </x:c>
      <x:c r="C12" s="15" t="str">
        <x:v>Critical</x:v>
      </x:c>
      <x:c r="D12" s="15" t="str">
        <x:v>PR-002, PR-003</x:v>
      </x:c>
      <x:c r="E12" s="15" t="n">
        <x:v>2</x:v>
      </x:c>
      <x:c r="F12" s="15" t="str">
        <x:v>Covered</x:v>
      </x:c>
      <x:c r="G12" s="15" t="n">
        <x:v>0</x:v>
      </x:c>
      <x:c r="H12" s="15" t="str"/>
    </x:row>
    <x:row r="13" ht="15" hidden="0" customHeight="1">
      <x:c r="A13" s="15" t="str">
        <x:v>PR-REQ-003</x:v>
      </x:c>
      <x:c r="B13" s="15" t="str">
        <x:v>Purchase Request</x:v>
      </x:c>
      <x:c r="C13" s="15" t="str">
        <x:v>High</x:v>
      </x:c>
      <x:c r="D13" s="15" t="str">
        <x:v>PR-004, PR-005, PR-008</x:v>
      </x:c>
      <x:c r="E13" s="15" t="n">
        <x:v>3</x:v>
      </x:c>
      <x:c r="F13" s="15" t="str">
        <x:v>Covered</x:v>
      </x:c>
      <x:c r="G13" s="15" t="n">
        <x:v>0</x:v>
      </x:c>
      <x:c r="H13" s="15" t="str"/>
    </x:row>
    <x:row r="14" ht="15" hidden="0" customHeight="1">
      <x:c r="A14" s="15" t="str">
        <x:v>PR-REQ-004</x:v>
      </x:c>
      <x:c r="B14" s="15" t="str">
        <x:v>Purchase Request</x:v>
      </x:c>
      <x:c r="C14" s="15" t="str">
        <x:v>Critical</x:v>
      </x:c>
      <x:c r="D14" s="15" t="str">
        <x:v>PR-006, PR-007</x:v>
      </x:c>
      <x:c r="E14" s="15" t="n">
        <x:v>2</x:v>
      </x:c>
      <x:c r="F14" s="15" t="str">
        <x:v>Covered</x:v>
      </x:c>
      <x:c r="G14" s="15" t="n">
        <x:v>0</x:v>
      </x:c>
      <x:c r="H14" s="15" t="str"/>
    </x:row>
    <x:row r="15" ht="15" hidden="0" customHeight="1">
      <x:c r="A15" s="15" t="str">
        <x:v>PR-REQ-005</x:v>
      </x:c>
      <x:c r="B15" s="15" t="str">
        <x:v>Purchase Request</x:v>
      </x:c>
      <x:c r="C15" s="15" t="str">
        <x:v>High</x:v>
      </x:c>
      <x:c r="D15" s="15" t="str">
        <x:v>PR-009</x:v>
      </x:c>
      <x:c r="E15" s="15" t="n">
        <x:v>1</x:v>
      </x:c>
      <x:c r="F15" s="15" t="str">
        <x:v>Covered</x:v>
      </x:c>
      <x:c r="G15" s="15" t="n">
        <x:v>0</x:v>
      </x:c>
      <x:c r="H15" s="15" t="str"/>
    </x:row>
    <x:row r="16" ht="15" hidden="0" customHeight="1">
      <x:c r="A16" s="15" t="str">
        <x:v>PR-REQ-006</x:v>
      </x:c>
      <x:c r="B16" s="15" t="str">
        <x:v>Purchase Request</x:v>
      </x:c>
      <x:c r="C16" s="15" t="str">
        <x:v>Critical</x:v>
      </x:c>
      <x:c r="D16" s="15" t="str">
        <x:v>PR-010</x:v>
      </x:c>
      <x:c r="E16" s="15" t="n">
        <x:v>1</x:v>
      </x:c>
      <x:c r="F16" s="15" t="str">
        <x:v>Covered</x:v>
      </x:c>
      <x:c r="G16" s="15" t="n">
        <x:v>0</x:v>
      </x:c>
      <x:c r="H16" s="15" t="str"/>
    </x:row>
    <x:row r="17" ht="15" hidden="0" customHeight="1">
      <x:c r="A17" s="15" t="str">
        <x:v>APR-REQ-001</x:v>
      </x:c>
      <x:c r="B17" s="15" t="str">
        <x:v>Approval</x:v>
      </x:c>
      <x:c r="C17" s="15" t="str">
        <x:v>Critical</x:v>
      </x:c>
      <x:c r="D17" s="15" t="str">
        <x:v>APR-001</x:v>
      </x:c>
      <x:c r="E17" s="15" t="n">
        <x:v>1</x:v>
      </x:c>
      <x:c r="F17" s="15" t="str">
        <x:v>Covered</x:v>
      </x:c>
      <x:c r="G17" s="15" t="n">
        <x:v>0</x:v>
      </x:c>
      <x:c r="H17" s="15" t="str"/>
    </x:row>
    <x:row r="18" ht="15" hidden="0" customHeight="1">
      <x:c r="A18" s="15" t="str">
        <x:v>APR-REQ-002</x:v>
      </x:c>
      <x:c r="B18" s="15" t="str">
        <x:v>Approval</x:v>
      </x:c>
      <x:c r="C18" s="15" t="str">
        <x:v>Critical</x:v>
      </x:c>
      <x:c r="D18" s="15" t="str">
        <x:v>APR-002, APR-003, APR-004</x:v>
      </x:c>
      <x:c r="E18" s="15" t="n">
        <x:v>3</x:v>
      </x:c>
      <x:c r="F18" s="15" t="str">
        <x:v>Covered</x:v>
      </x:c>
      <x:c r="G18" s="15" t="n">
        <x:v>0</x:v>
      </x:c>
      <x:c r="H18" s="15" t="str"/>
    </x:row>
    <x:row r="19" ht="15" hidden="0" customHeight="1">
      <x:c r="A19" s="15" t="str">
        <x:v>APR-REQ-003</x:v>
      </x:c>
      <x:c r="B19" s="15" t="str">
        <x:v>Approval</x:v>
      </x:c>
      <x:c r="C19" s="15" t="str">
        <x:v>Critical</x:v>
      </x:c>
      <x:c r="D19" s="15" t="str">
        <x:v>APR-005, APR-006</x:v>
      </x:c>
      <x:c r="E19" s="15" t="n">
        <x:v>2</x:v>
      </x:c>
      <x:c r="F19" s="15" t="str">
        <x:v>Covered</x:v>
      </x:c>
      <x:c r="G19" s="15" t="n">
        <x:v>0</x:v>
      </x:c>
      <x:c r="H19" s="15" t="str"/>
    </x:row>
    <x:row r="20" ht="15" hidden="0" customHeight="1">
      <x:c r="A20" s="15" t="str">
        <x:v>APR-REQ-004</x:v>
      </x:c>
      <x:c r="B20" s="15" t="str">
        <x:v>Approval</x:v>
      </x:c>
      <x:c r="C20" s="15" t="str">
        <x:v>High</x:v>
      </x:c>
      <x:c r="D20" s="15" t="str">
        <x:v>APR-007</x:v>
      </x:c>
      <x:c r="E20" s="15" t="n">
        <x:v>1</x:v>
      </x:c>
      <x:c r="F20" s="15" t="str">
        <x:v>Covered</x:v>
      </x:c>
      <x:c r="G20" s="15" t="n">
        <x:v>0</x:v>
      </x:c>
      <x:c r="H20" s="15" t="str"/>
    </x:row>
    <x:row r="21" ht="15" hidden="0" customHeight="1">
      <x:c r="A21" s="15" t="str">
        <x:v>APR-REQ-005</x:v>
      </x:c>
      <x:c r="B21" s="15" t="str">
        <x:v>Approval</x:v>
      </x:c>
      <x:c r="C21" s="15" t="str">
        <x:v>Critical</x:v>
      </x:c>
      <x:c r="D21" s="15" t="str">
        <x:v>APR-008, APR-009</x:v>
      </x:c>
      <x:c r="E21" s="15" t="n">
        <x:v>2</x:v>
      </x:c>
      <x:c r="F21" s="15" t="str">
        <x:v>Covered</x:v>
      </x:c>
      <x:c r="G21" s="15" t="n">
        <x:v>0</x:v>
      </x:c>
      <x:c r="H21" s="15" t="str"/>
    </x:row>
    <x:row r="22" ht="15" hidden="0" customHeight="1">
      <x:c r="A22" s="15" t="str">
        <x:v>PO-REQ-001</x:v>
      </x:c>
      <x:c r="B22" s="15" t="str">
        <x:v>Purchase Order</x:v>
      </x:c>
      <x:c r="C22" s="15" t="str">
        <x:v>Critical</x:v>
      </x:c>
      <x:c r="D22" s="15" t="str">
        <x:v>PO-001, PO-002</x:v>
      </x:c>
      <x:c r="E22" s="15" t="n">
        <x:v>2</x:v>
      </x:c>
      <x:c r="F22" s="15" t="str">
        <x:v>Covered</x:v>
      </x:c>
      <x:c r="G22" s="15" t="n">
        <x:v>0</x:v>
      </x:c>
      <x:c r="H22" s="15" t="str"/>
    </x:row>
    <x:row r="23" ht="15" hidden="0" customHeight="1">
      <x:c r="A23" s="15" t="str">
        <x:v>PO-REQ-002</x:v>
      </x:c>
      <x:c r="B23" s="15" t="str">
        <x:v>Purchase Order</x:v>
      </x:c>
      <x:c r="C23" s="15" t="str">
        <x:v>Critical</x:v>
      </x:c>
      <x:c r="D23" s="15" t="str">
        <x:v>PO-003</x:v>
      </x:c>
      <x:c r="E23" s="15" t="n">
        <x:v>1</x:v>
      </x:c>
      <x:c r="F23" s="15" t="str">
        <x:v>Covered</x:v>
      </x:c>
      <x:c r="G23" s="15" t="n">
        <x:v>0</x:v>
      </x:c>
      <x:c r="H23" s="15" t="str"/>
    </x:row>
    <x:row r="24" ht="15" hidden="0" customHeight="1">
      <x:c r="A24" s="15" t="str">
        <x:v>PO-REQ-003</x:v>
      </x:c>
      <x:c r="B24" s="15" t="str">
        <x:v>Purchase Order</x:v>
      </x:c>
      <x:c r="C24" s="15" t="str">
        <x:v>High</x:v>
      </x:c>
      <x:c r="D24" s="15" t="str">
        <x:v>PO-004, PO-005</x:v>
      </x:c>
      <x:c r="E24" s="15" t="n">
        <x:v>2</x:v>
      </x:c>
      <x:c r="F24" s="15" t="str">
        <x:v>Covered</x:v>
      </x:c>
      <x:c r="G24" s="15" t="n">
        <x:v>0</x:v>
      </x:c>
      <x:c r="H24" s="15" t="str"/>
    </x:row>
    <x:row r="25" ht="15" hidden="0" customHeight="1">
      <x:c r="A25" s="15" t="str">
        <x:v>PO-REQ-004</x:v>
      </x:c>
      <x:c r="B25" s="15" t="str">
        <x:v>Purchase Order</x:v>
      </x:c>
      <x:c r="C25" s="15" t="str">
        <x:v>Critical</x:v>
      </x:c>
      <x:c r="D25" s="15" t="str">
        <x:v>PO-006, PO-007</x:v>
      </x:c>
      <x:c r="E25" s="15" t="n">
        <x:v>2</x:v>
      </x:c>
      <x:c r="F25" s="15" t="str">
        <x:v>Covered</x:v>
      </x:c>
      <x:c r="G25" s="15" t="n">
        <x:v>0</x:v>
      </x:c>
      <x:c r="H25" s="15" t="str"/>
    </x:row>
    <x:row r="26" ht="15" hidden="0" customHeight="1">
      <x:c r="A26" s="15" t="str">
        <x:v>PO-REQ-005</x:v>
      </x:c>
      <x:c r="B26" s="15" t="str">
        <x:v>Purchase Order</x:v>
      </x:c>
      <x:c r="C26" s="15" t="str">
        <x:v>High</x:v>
      </x:c>
      <x:c r="D26" s="15" t="str">
        <x:v>PO-008</x:v>
      </x:c>
      <x:c r="E26" s="15" t="n">
        <x:v>1</x:v>
      </x:c>
      <x:c r="F26" s="15" t="str">
        <x:v>Covered</x:v>
      </x:c>
      <x:c r="G26" s="15" t="n">
        <x:v>0</x:v>
      </x:c>
      <x:c r="H26" s="15" t="str"/>
    </x:row>
    <x:row r="27" ht="15" hidden="0" customHeight="1">
      <x:c r="A27" s="15" t="str">
        <x:v>PO-REQ-006</x:v>
      </x:c>
      <x:c r="B27" s="15" t="str">
        <x:v>Purchase Order</x:v>
      </x:c>
      <x:c r="C27" s="15" t="str">
        <x:v>Critical</x:v>
      </x:c>
      <x:c r="D27" s="15" t="str">
        <x:v>PO-009</x:v>
      </x:c>
      <x:c r="E27" s="15" t="n">
        <x:v>1</x:v>
      </x:c>
      <x:c r="F27" s="15" t="str">
        <x:v>Covered</x:v>
      </x:c>
      <x:c r="G27" s="15" t="n">
        <x:v>0</x:v>
      </x:c>
      <x:c r="H27" s="15" t="str"/>
    </x:row>
    <x:row r="28" ht="15" hidden="0" customHeight="1">
      <x:c r="A28" s="15" t="str">
        <x:v>GRN-REQ-001</x:v>
      </x:c>
      <x:c r="B28" s="15" t="str">
        <x:v>Goods Receipt</x:v>
      </x:c>
      <x:c r="C28" s="15" t="str">
        <x:v>Critical</x:v>
      </x:c>
      <x:c r="D28" s="15" t="str">
        <x:v>GRN-001</x:v>
      </x:c>
      <x:c r="E28" s="15" t="n">
        <x:v>1</x:v>
      </x:c>
      <x:c r="F28" s="15" t="str">
        <x:v>Covered</x:v>
      </x:c>
      <x:c r="G28" s="15" t="n">
        <x:v>0</x:v>
      </x:c>
      <x:c r="H28" s="15" t="str"/>
    </x:row>
    <x:row r="29" ht="15" hidden="0" customHeight="1">
      <x:c r="A29" s="15" t="str">
        <x:v>GRN-REQ-002</x:v>
      </x:c>
      <x:c r="B29" s="15" t="str">
        <x:v>Goods Receipt</x:v>
      </x:c>
      <x:c r="C29" s="15" t="str">
        <x:v>Critical</x:v>
      </x:c>
      <x:c r="D29" s="15" t="str">
        <x:v>GRN-002, GRN-003</x:v>
      </x:c>
      <x:c r="E29" s="15" t="n">
        <x:v>2</x:v>
      </x:c>
      <x:c r="F29" s="15" t="str">
        <x:v>Covered</x:v>
      </x:c>
      <x:c r="G29" s="15" t="n">
        <x:v>0</x:v>
      </x:c>
      <x:c r="H29" s="15" t="str"/>
    </x:row>
    <x:row r="30" ht="15" hidden="0" customHeight="1">
      <x:c r="A30" s="15" t="str">
        <x:v>GRN-REQ-003</x:v>
      </x:c>
      <x:c r="B30" s="15" t="str">
        <x:v>Goods Receipt</x:v>
      </x:c>
      <x:c r="C30" s="15" t="str">
        <x:v>Critical</x:v>
      </x:c>
      <x:c r="D30" s="15" t="str">
        <x:v>GRN-004, GRN-005, GRN-006, GRN-007</x:v>
      </x:c>
      <x:c r="E30" s="15" t="n">
        <x:v>4</x:v>
      </x:c>
      <x:c r="F30" s="15" t="str">
        <x:v>Covered</x:v>
      </x:c>
      <x:c r="G30" s="15" t="n">
        <x:v>0</x:v>
      </x:c>
      <x:c r="H30" s="15" t="str"/>
    </x:row>
    <x:row r="31" ht="15" hidden="0" customHeight="1">
      <x:c r="A31" s="15" t="str">
        <x:v>GRN-REQ-004</x:v>
      </x:c>
      <x:c r="B31" s="15" t="str">
        <x:v>Goods Receipt</x:v>
      </x:c>
      <x:c r="C31" s="15" t="str">
        <x:v>High</x:v>
      </x:c>
      <x:c r="D31" s="15" t="str">
        <x:v>GRN-008</x:v>
      </x:c>
      <x:c r="E31" s="15" t="n">
        <x:v>1</x:v>
      </x:c>
      <x:c r="F31" s="15" t="str">
        <x:v>Covered</x:v>
      </x:c>
      <x:c r="G31" s="15" t="n">
        <x:v>0</x:v>
      </x:c>
      <x:c r="H31" s="15" t="str"/>
    </x:row>
    <x:row r="32" ht="15" hidden="0" customHeight="1">
      <x:c r="A32" s="15" t="str">
        <x:v>INV-REQ-001</x:v>
      </x:c>
      <x:c r="B32" s="15" t="str">
        <x:v>Inventory</x:v>
      </x:c>
      <x:c r="C32" s="15" t="str">
        <x:v>Critical</x:v>
      </x:c>
      <x:c r="D32" s="15" t="str">
        <x:v>INV-001</x:v>
      </x:c>
      <x:c r="E32" s="15" t="n">
        <x:v>1</x:v>
      </x:c>
      <x:c r="F32" s="15" t="str">
        <x:v>Covered</x:v>
      </x:c>
      <x:c r="G32" s="15" t="n">
        <x:v>0</x:v>
      </x:c>
      <x:c r="H32" s="15" t="str"/>
    </x:row>
    <x:row r="33" ht="15" hidden="0" customHeight="1">
      <x:c r="A33" s="15" t="str">
        <x:v>INV-REQ-002</x:v>
      </x:c>
      <x:c r="B33" s="15" t="str">
        <x:v>Inventory</x:v>
      </x:c>
      <x:c r="C33" s="15" t="str">
        <x:v>Critical</x:v>
      </x:c>
      <x:c r="D33" s="15" t="str">
        <x:v>INV-002</x:v>
      </x:c>
      <x:c r="E33" s="15" t="n">
        <x:v>1</x:v>
      </x:c>
      <x:c r="F33" s="15" t="str">
        <x:v>Covered</x:v>
      </x:c>
      <x:c r="G33" s="15" t="n">
        <x:v>0</x:v>
      </x:c>
      <x:c r="H33" s="15" t="str"/>
    </x:row>
    <x:row r="34" ht="15" hidden="0" customHeight="1">
      <x:c r="A34" s="15" t="str">
        <x:v>INV-REQ-003</x:v>
      </x:c>
      <x:c r="B34" s="15" t="str">
        <x:v>Inventory</x:v>
      </x:c>
      <x:c r="C34" s="15" t="str">
        <x:v>High</x:v>
      </x:c>
      <x:c r="D34" s="15" t="str">
        <x:v>INV-003</x:v>
      </x:c>
      <x:c r="E34" s="15" t="n">
        <x:v>1</x:v>
      </x:c>
      <x:c r="F34" s="15" t="str">
        <x:v>Covered</x:v>
      </x:c>
      <x:c r="G34" s="15" t="n">
        <x:v>0</x:v>
      </x:c>
      <x:c r="H34" s="15" t="str"/>
    </x:row>
    <x:row r="35" ht="15" hidden="0" customHeight="1">
      <x:c r="A35" s="15" t="str">
        <x:v>SEC-REQ-001</x:v>
      </x:c>
      <x:c r="B35" s="15" t="str">
        <x:v>Security</x:v>
      </x:c>
      <x:c r="C35" s="15" t="str">
        <x:v>Critical</x:v>
      </x:c>
      <x:c r="D35" s="15" t="str">
        <x:v>SEC-001, SEC-002</x:v>
      </x:c>
      <x:c r="E35" s="15" t="n">
        <x:v>2</x:v>
      </x:c>
      <x:c r="F35" s="15" t="str">
        <x:v>Covered</x:v>
      </x:c>
      <x:c r="G35" s="15" t="n">
        <x:v>0</x:v>
      </x:c>
      <x:c r="H35" s="15" t="str"/>
    </x:row>
    <x:row r="36" ht="15" hidden="0" customHeight="1">
      <x:c r="A36" s="15" t="str">
        <x:v>SEC-REQ-002</x:v>
      </x:c>
      <x:c r="B36" s="15" t="str">
        <x:v>Security</x:v>
      </x:c>
      <x:c r="C36" s="15" t="str">
        <x:v>Critical</x:v>
      </x:c>
      <x:c r="D36" s="15" t="str">
        <x:v>SEC-003, SEC-004</x:v>
      </x:c>
      <x:c r="E36" s="15" t="n">
        <x:v>2</x:v>
      </x:c>
      <x:c r="F36" s="15" t="str">
        <x:v>Covered</x:v>
      </x:c>
      <x:c r="G36" s="15" t="n">
        <x:v>0</x:v>
      </x:c>
      <x:c r="H36" s="15" t="str"/>
    </x:row>
    <x:row r="37" ht="15" hidden="0" customHeight="1">
      <x:c r="A37" s="15" t="str">
        <x:v>SEC-REQ-003</x:v>
      </x:c>
      <x:c r="B37" s="15" t="str">
        <x:v>Security</x:v>
      </x:c>
      <x:c r="C37" s="15" t="str">
        <x:v>Critical</x:v>
      </x:c>
      <x:c r="D37" s="15" t="str">
        <x:v>SEC-005, SEC-006</x:v>
      </x:c>
      <x:c r="E37" s="15" t="n">
        <x:v>2</x:v>
      </x:c>
      <x:c r="F37" s="15" t="str">
        <x:v>Covered</x:v>
      </x:c>
      <x:c r="G37" s="15" t="n">
        <x:v>0</x:v>
      </x:c>
      <x:c r="H37" s="15" t="str"/>
    </x:row>
    <x:row r="38" ht="15" hidden="0" customHeight="1">
      <x:c r="A38" s="15" t="str">
        <x:v>SEC-REQ-004</x:v>
      </x:c>
      <x:c r="B38" s="15" t="str">
        <x:v>Security</x:v>
      </x:c>
      <x:c r="C38" s="15" t="str">
        <x:v>High</x:v>
      </x:c>
      <x:c r="D38" s="15" t="str">
        <x:v>SEC-007, SEC-008</x:v>
      </x:c>
      <x:c r="E38" s="15" t="n">
        <x:v>2</x:v>
      </x:c>
      <x:c r="F38" s="15" t="str">
        <x:v>Covered</x:v>
      </x:c>
      <x:c r="G38" s="15" t="n">
        <x:v>0</x:v>
      </x:c>
      <x:c r="H38" s="15" t="str"/>
    </x:row>
    <x:row r="39" ht="15" hidden="0" customHeight="1">
      <x:c r="A39" s="15" t="str">
        <x:v>SEC-REQ-005</x:v>
      </x:c>
      <x:c r="B39" s="15" t="str">
        <x:v>Security</x:v>
      </x:c>
      <x:c r="C39" s="15" t="str">
        <x:v>Critical</x:v>
      </x:c>
      <x:c r="D39" s="15" t="str">
        <x:v>SEC-009</x:v>
      </x:c>
      <x:c r="E39" s="15" t="n">
        <x:v>1</x:v>
      </x:c>
      <x:c r="F39" s="15" t="str">
        <x:v>Covered</x:v>
      </x:c>
      <x:c r="G39" s="15" t="n">
        <x:v>0</x:v>
      </x:c>
      <x:c r="H39" s="15" t="str"/>
    </x:row>
    <x:row r="40" ht="15" hidden="0" customHeight="1">
      <x:c r="A40" s="15" t="str">
        <x:v>SEC-REQ-006</x:v>
      </x:c>
      <x:c r="B40" s="15" t="str">
        <x:v>Security</x:v>
      </x:c>
      <x:c r="C40" s="15" t="str">
        <x:v>High</x:v>
      </x:c>
      <x:c r="D40" s="15" t="str">
        <x:v>SEC-010</x:v>
      </x:c>
      <x:c r="E40" s="15" t="n">
        <x:v>1</x:v>
      </x:c>
      <x:c r="F40" s="15" t="str">
        <x:v>Covered</x:v>
      </x:c>
      <x:c r="G40" s="15" t="n">
        <x:v>0</x:v>
      </x:c>
      <x:c r="H40" s="15" t="str"/>
    </x:row>
    <x:row r="41" ht="15" hidden="0" customHeight="1">
      <x:c r="A41" s="15" t="str">
        <x:v>SEC-REQ-007</x:v>
      </x:c>
      <x:c r="B41" s="15" t="str">
        <x:v>Security</x:v>
      </x:c>
      <x:c r="C41" s="15" t="str">
        <x:v>Critical</x:v>
      </x:c>
      <x:c r="D41" s="15" t="str">
        <x:v>SEC-011</x:v>
      </x:c>
      <x:c r="E41" s="15" t="n">
        <x:v>1</x:v>
      </x:c>
      <x:c r="F41" s="15" t="str">
        <x:v>Covered</x:v>
      </x:c>
      <x:c r="G41" s="15" t="n">
        <x:v>0</x:v>
      </x:c>
      <x:c r="H41" s="15" t="str"/>
    </x:row>
    <x:row r="42" ht="15" hidden="0" customHeight="1">
      <x:c r="A42" s="15" t="str">
        <x:v>SEC-REQ-008</x:v>
      </x:c>
      <x:c r="B42" s="15" t="str">
        <x:v>Security</x:v>
      </x:c>
      <x:c r="C42" s="15" t="str">
        <x:v>Critical</x:v>
      </x:c>
      <x:c r="D42" s="15" t="str">
        <x:v>SEC-012</x:v>
      </x:c>
      <x:c r="E42" s="15" t="n">
        <x:v>1</x:v>
      </x:c>
      <x:c r="F42" s="15" t="str">
        <x:v>Covered</x:v>
      </x:c>
      <x:c r="G42" s="15" t="n">
        <x:v>0</x:v>
      </x:c>
      <x:c r="H42" s="15" t="str"/>
    </x:row>
    <x:row r="43" ht="15" hidden="0" customHeight="1">
      <x:c r="A43" s="15" t="str">
        <x:v>SEC-REQ-009</x:v>
      </x:c>
      <x:c r="B43" s="15" t="str">
        <x:v>Security</x:v>
      </x:c>
      <x:c r="C43" s="15" t="str">
        <x:v>High</x:v>
      </x:c>
      <x:c r="D43" s="15" t="str">
        <x:v>SEC-013</x:v>
      </x:c>
      <x:c r="E43" s="15" t="n">
        <x:v>1</x:v>
      </x:c>
      <x:c r="F43" s="15" t="str">
        <x:v>Covered</x:v>
      </x:c>
      <x:c r="G43" s="15" t="n">
        <x:v>0</x:v>
      </x:c>
      <x:c r="H43" s="15" t="str"/>
    </x:row>
    <x:row r="44" ht="15" hidden="0" customHeight="1">
      <x:c r="A44" s="15" t="str">
        <x:v>SEC-REQ-010</x:v>
      </x:c>
      <x:c r="B44" s="15" t="str">
        <x:v>Security</x:v>
      </x:c>
      <x:c r="C44" s="15" t="str">
        <x:v>High</x:v>
      </x:c>
      <x:c r="D44" s="15" t="str">
        <x:v>SEC-014</x:v>
      </x:c>
      <x:c r="E44" s="15" t="n">
        <x:v>1</x:v>
      </x:c>
      <x:c r="F44" s="15" t="str">
        <x:v>Covered</x:v>
      </x:c>
      <x:c r="G44" s="15" t="n">
        <x:v>0</x:v>
      </x:c>
      <x:c r="H44" s="15" t="str"/>
    </x:row>
    <x:row r="45" ht="15" hidden="0" customHeight="1">
      <x:c r="A45" s="15" t="str">
        <x:v>SYS-REQ-001</x:v>
      </x:c>
      <x:c r="B45" s="15" t="str">
        <x:v>Cross-cutting</x:v>
      </x:c>
      <x:c r="C45" s="15" t="str">
        <x:v>High</x:v>
      </x:c>
      <x:c r="D45" s="15" t="str">
        <x:v>SYS-001</x:v>
      </x:c>
      <x:c r="E45" s="15" t="n">
        <x:v>1</x:v>
      </x:c>
      <x:c r="F45" s="15" t="str">
        <x:v>Covered</x:v>
      </x:c>
      <x:c r="G45" s="15" t="n">
        <x:v>0</x:v>
      </x:c>
      <x:c r="H45" s="15" t="str"/>
    </x:row>
    <x:row r="46" ht="15" hidden="0" customHeight="1">
      <x:c r="A46" s="15" t="str">
        <x:v>SYS-REQ-002</x:v>
      </x:c>
      <x:c r="B46" s="15" t="str">
        <x:v>Cross-cutting</x:v>
      </x:c>
      <x:c r="C46" s="15" t="str">
        <x:v>High</x:v>
      </x:c>
      <x:c r="D46" s="15" t="str">
        <x:v>SYS-002</x:v>
      </x:c>
      <x:c r="E46" s="15" t="n">
        <x:v>1</x:v>
      </x:c>
      <x:c r="F46" s="15" t="str">
        <x:v>Covered</x:v>
      </x:c>
      <x:c r="G46" s="15" t="n">
        <x:v>0</x:v>
      </x:c>
      <x:c r="H46" s="15" t="str"/>
    </x:row>
    <x:row r="47" ht="15" hidden="0" customHeight="1">
      <x:c r="A47" s="15" t="str">
        <x:v>SYS-REQ-003</x:v>
      </x:c>
      <x:c r="B47" s="15" t="str">
        <x:v>Cross-cutting</x:v>
      </x:c>
      <x:c r="C47" s="15" t="str">
        <x:v>Critical</x:v>
      </x:c>
      <x:c r="D47" s="15" t="str">
        <x:v>SUP-011, PO-010, SYS-004</x:v>
      </x:c>
      <x:c r="E47" s="15" t="n">
        <x:v>3</x:v>
      </x:c>
      <x:c r="F47" s="15" t="str">
        <x:v>Covered</x:v>
      </x:c>
      <x:c r="G47" s="15" t="n">
        <x:v>0</x:v>
      </x:c>
      <x:c r="H47" s="15" t="str"/>
    </x:row>
    <x:row r="48" ht="15" hidden="0" customHeight="1">
      <x:c r="A48" s="15" t="str">
        <x:v>SYS-REQ-004</x:v>
      </x:c>
      <x:c r="B48" s="15" t="str">
        <x:v>Cross-cutting</x:v>
      </x:c>
      <x:c r="C48" s="15" t="str">
        <x:v>Critical</x:v>
      </x:c>
      <x:c r="D48" s="15" t="str">
        <x:v>SYS-003</x:v>
      </x:c>
      <x:c r="E48" s="15" t="n">
        <x:v>1</x:v>
      </x:c>
      <x:c r="F48" s="15" t="str">
        <x:v>Covered</x:v>
      </x:c>
      <x:c r="G48" s="15" t="n">
        <x:v>0</x:v>
      </x:c>
      <x:c r="H48" s="15" t="str"/>
    </x:row>
    <x:row r="49" ht="15" hidden="0" customHeight="1">
      <x:c r="A49" s="16" t="str">
        <x:v>E2E-REQ-001</x:v>
      </x:c>
      <x:c r="B49" s="16" t="str">
        <x:v>End-to-End</x:v>
      </x:c>
      <x:c r="C49" s="16" t="str">
        <x:v>Critical</x:v>
      </x:c>
      <x:c r="D49" s="16" t="str">
        <x:v>E2E-001, E2E-002</x:v>
      </x:c>
      <x:c r="E49" s="16" t="n">
        <x:v>2</x:v>
      </x:c>
      <x:c r="F49" s="16" t="str">
        <x:v>Covered</x:v>
      </x:c>
      <x:c r="G49" s="16" t="n">
        <x:v>0</x:v>
      </x:c>
      <x:c r="H49" s="16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52" hidden="0" customWidth="1"/>
    <x:col min="9" max="9" width="14" hidden="0" customWidth="1"/>
    <x:col min="10" max="10" width="34" hidden="0" customWidth="1"/>
    <x:col min="11" max="11" width="15" hidden="0" customWidth="1"/>
    <x:col min="12" max="12" width="15" hidden="0" customWidth="1"/>
    <x:col min="13" max="13" width="36" hidden="0" customWidth="1"/>
  </x:cols>
  <x:sheetData>
    <x:row r="1" ht="21.600000381469727" hidden="0" customHeight="1">
      <x:c r="A1" s="3" t="str">
        <x:v>Manual and Automated Execution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/>
    <x:row r="3" ht="15" hidden="0" customHeight="1">
      <x:c r="A3" s="31" t="str">
        <x:v>Execution ID</x:v>
      </x:c>
      <x:c r="B3" s="32" t="str">
        <x:v>Test Case ID</x:v>
      </x:c>
      <x:c r="C3" s="32" t="str">
        <x:v>Build</x:v>
      </x:c>
      <x:c r="D3" s="32" t="str">
        <x:v>Environment</x:v>
      </x:c>
      <x:c r="E3" s="32" t="str">
        <x:v>Execution type</x:v>
      </x:c>
      <x:c r="F3" s="32" t="str">
        <x:v>Executor</x:v>
      </x:c>
      <x:c r="G3" s="32" t="str">
        <x:v>Execution date</x:v>
      </x:c>
      <x:c r="H3" s="32" t="str">
        <x:v>Actual result</x:v>
      </x:c>
      <x:c r="I3" s="32" t="str">
        <x:v>Status</x:v>
      </x:c>
      <x:c r="J3" s="32" t="str">
        <x:v>Evidence link/path</x:v>
      </x:c>
      <x:c r="K3" s="32" t="str">
        <x:v>Defect ID</x:v>
      </x:c>
      <x:c r="L3" s="32" t="str">
        <x:v>Retest status</x:v>
      </x:c>
      <x:c r="M3" s="33" t="str">
        <x:v>Comments</x:v>
      </x:c>
    </x:row>
    <x:row r="4" ht="15" hidden="0" customHeight="1">
      <x:c r="A4" s="14" t="str">
        <x:v>EXEC-001</x:v>
      </x:c>
      <x:c r="B4" s="14" t="str">
        <x:v>SUP-001</x:v>
      </x:c>
      <x:c r="C4" s="14" t="str"/>
      <x:c r="D4" s="14" t="str"/>
      <x:c r="E4" s="14" t="str">
        <x:v>Manual</x:v>
      </x:c>
      <x:c r="F4" s="14" t="str"/>
      <x:c r="G4" s="14" t="str"/>
      <x:c r="H4" s="14" t="str"/>
      <x:c r="I4" s="14" t="str">
        <x:v>Not Run</x:v>
      </x:c>
      <x:c r="J4" s="14" t="str"/>
      <x:c r="K4" s="14" t="str"/>
      <x:c r="L4" s="14" t="str">
        <x:v>Not Run</x:v>
      </x:c>
      <x:c r="M4" s="14" t="str"/>
    </x:row>
    <x:row r="5" ht="15" hidden="0" customHeight="1">
      <x:c r="A5" s="15" t="str">
        <x:v>EXEC-002</x:v>
      </x:c>
      <x:c r="B5" s="15" t="str">
        <x:v>SUP-002</x:v>
      </x:c>
      <x:c r="C5" s="15" t="str"/>
      <x:c r="D5" s="15" t="str"/>
      <x:c r="E5" s="15" t="str">
        <x:v>Manual</x:v>
      </x:c>
      <x:c r="F5" s="15" t="str"/>
      <x:c r="G5" s="15" t="str"/>
      <x:c r="H5" s="15" t="str"/>
      <x:c r="I5" s="15" t="str">
        <x:v>Not Run</x:v>
      </x:c>
      <x:c r="J5" s="15" t="str"/>
      <x:c r="K5" s="15" t="str"/>
      <x:c r="L5" s="15" t="str">
        <x:v>Not Run</x:v>
      </x:c>
      <x:c r="M5" s="15" t="str"/>
    </x:row>
    <x:row r="6" ht="15" hidden="0" customHeight="1">
      <x:c r="A6" s="15" t="str">
        <x:v>EXEC-003</x:v>
      </x:c>
      <x:c r="B6" s="15" t="str">
        <x:v>SUP-003</x:v>
      </x:c>
      <x:c r="C6" s="15" t="str"/>
      <x:c r="D6" s="15" t="str"/>
      <x:c r="E6" s="15" t="str">
        <x:v>Manual</x:v>
      </x:c>
      <x:c r="F6" s="15" t="str"/>
      <x:c r="G6" s="15" t="str"/>
      <x:c r="H6" s="15" t="str"/>
      <x:c r="I6" s="15" t="str">
        <x:v>Not Run</x:v>
      </x:c>
      <x:c r="J6" s="15" t="str"/>
      <x:c r="K6" s="15" t="str"/>
      <x:c r="L6" s="15" t="str">
        <x:v>Not Run</x:v>
      </x:c>
      <x:c r="M6" s="15" t="str"/>
    </x:row>
    <x:row r="7" ht="15" hidden="0" customHeight="1">
      <x:c r="A7" s="15" t="str">
        <x:v>EXEC-004</x:v>
      </x:c>
      <x:c r="B7" s="15" t="str">
        <x:v>SUP-004</x:v>
      </x:c>
      <x:c r="C7" s="15" t="str"/>
      <x:c r="D7" s="15" t="str"/>
      <x:c r="E7" s="15" t="str">
        <x:v>Manual</x:v>
      </x:c>
      <x:c r="F7" s="15" t="str"/>
      <x:c r="G7" s="15" t="str"/>
      <x:c r="H7" s="15" t="str"/>
      <x:c r="I7" s="15" t="str">
        <x:v>Not Run</x:v>
      </x:c>
      <x:c r="J7" s="15" t="str"/>
      <x:c r="K7" s="15" t="str"/>
      <x:c r="L7" s="15" t="str">
        <x:v>Not Run</x:v>
      </x:c>
      <x:c r="M7" s="15" t="str"/>
    </x:row>
    <x:row r="8" ht="15" hidden="0" customHeight="1">
      <x:c r="A8" s="15" t="str">
        <x:v>EXEC-005</x:v>
      </x:c>
      <x:c r="B8" s="15" t="str">
        <x:v>SUP-005</x:v>
      </x:c>
      <x:c r="C8" s="15" t="str"/>
      <x:c r="D8" s="15" t="str"/>
      <x:c r="E8" s="15" t="str">
        <x:v>Manual</x:v>
      </x:c>
      <x:c r="F8" s="15" t="str"/>
      <x:c r="G8" s="15" t="str"/>
      <x:c r="H8" s="15" t="str"/>
      <x:c r="I8" s="15" t="str">
        <x:v>Not Run</x:v>
      </x:c>
      <x:c r="J8" s="15" t="str"/>
      <x:c r="K8" s="15" t="str"/>
      <x:c r="L8" s="15" t="str">
        <x:v>Not Run</x:v>
      </x:c>
      <x:c r="M8" s="15" t="str"/>
    </x:row>
    <x:row r="9" ht="15" hidden="0" customHeight="1">
      <x:c r="A9" s="15" t="str">
        <x:v>EXEC-006</x:v>
      </x:c>
      <x:c r="B9" s="15" t="str">
        <x:v>SUP-006</x:v>
      </x:c>
      <x:c r="C9" s="15" t="str"/>
      <x:c r="D9" s="15" t="str"/>
      <x:c r="E9" s="15" t="str">
        <x:v>Manual</x:v>
      </x:c>
      <x:c r="F9" s="15" t="str"/>
      <x:c r="G9" s="15" t="str"/>
      <x:c r="H9" s="15" t="str"/>
      <x:c r="I9" s="15" t="str">
        <x:v>Not Run</x:v>
      </x:c>
      <x:c r="J9" s="15" t="str"/>
      <x:c r="K9" s="15" t="str"/>
      <x:c r="L9" s="15" t="str">
        <x:v>Not Run</x:v>
      </x:c>
      <x:c r="M9" s="15" t="str"/>
    </x:row>
    <x:row r="10" ht="15" hidden="0" customHeight="1">
      <x:c r="A10" s="15" t="str">
        <x:v>EXEC-007</x:v>
      </x:c>
      <x:c r="B10" s="15" t="str">
        <x:v>SUP-007</x:v>
      </x:c>
      <x:c r="C10" s="15" t="str"/>
      <x:c r="D10" s="15" t="str"/>
      <x:c r="E10" s="15" t="str">
        <x:v>Manual</x:v>
      </x:c>
      <x:c r="F10" s="15" t="str"/>
      <x:c r="G10" s="15" t="str"/>
      <x:c r="H10" s="15" t="str"/>
      <x:c r="I10" s="15" t="str">
        <x:v>Not Run</x:v>
      </x:c>
      <x:c r="J10" s="15" t="str"/>
      <x:c r="K10" s="15" t="str"/>
      <x:c r="L10" s="15" t="str">
        <x:v>Not Run</x:v>
      </x:c>
      <x:c r="M10" s="15" t="str"/>
    </x:row>
    <x:row r="11" ht="15" hidden="0" customHeight="1">
      <x:c r="A11" s="15" t="str">
        <x:v>EXEC-008</x:v>
      </x:c>
      <x:c r="B11" s="15" t="str">
        <x:v>SUP-008</x:v>
      </x:c>
      <x:c r="C11" s="15" t="str"/>
      <x:c r="D11" s="15" t="str"/>
      <x:c r="E11" s="15" t="str">
        <x:v>Manual</x:v>
      </x:c>
      <x:c r="F11" s="15" t="str"/>
      <x:c r="G11" s="15" t="str"/>
      <x:c r="H11" s="15" t="str"/>
      <x:c r="I11" s="15" t="str">
        <x:v>Not Run</x:v>
      </x:c>
      <x:c r="J11" s="15" t="str"/>
      <x:c r="K11" s="15" t="str"/>
      <x:c r="L11" s="15" t="str">
        <x:v>Not Run</x:v>
      </x:c>
      <x:c r="M11" s="15" t="str"/>
    </x:row>
    <x:row r="12" ht="15" hidden="0" customHeight="1">
      <x:c r="A12" s="15" t="str">
        <x:v>EXEC-009</x:v>
      </x:c>
      <x:c r="B12" s="15" t="str">
        <x:v>SUP-009</x:v>
      </x:c>
      <x:c r="C12" s="15" t="str"/>
      <x:c r="D12" s="15" t="str"/>
      <x:c r="E12" s="15" t="str">
        <x:v>Manual</x:v>
      </x:c>
      <x:c r="F12" s="15" t="str"/>
      <x:c r="G12" s="15" t="str"/>
      <x:c r="H12" s="15" t="str"/>
      <x:c r="I12" s="15" t="str">
        <x:v>Not Run</x:v>
      </x:c>
      <x:c r="J12" s="15" t="str"/>
      <x:c r="K12" s="15" t="str"/>
      <x:c r="L12" s="15" t="str">
        <x:v>Not Run</x:v>
      </x:c>
      <x:c r="M12" s="15" t="str"/>
    </x:row>
    <x:row r="13" ht="15" hidden="0" customHeight="1">
      <x:c r="A13" s="15" t="str">
        <x:v>EXEC-010</x:v>
      </x:c>
      <x:c r="B13" s="15" t="str">
        <x:v>SUP-010</x:v>
      </x:c>
      <x:c r="C13" s="15" t="str"/>
      <x:c r="D13" s="15" t="str"/>
      <x:c r="E13" s="15" t="str">
        <x:v>Manual</x:v>
      </x:c>
      <x:c r="F13" s="15" t="str"/>
      <x:c r="G13" s="15" t="str"/>
      <x:c r="H13" s="15" t="str"/>
      <x:c r="I13" s="15" t="str">
        <x:v>Not Run</x:v>
      </x:c>
      <x:c r="J13" s="15" t="str"/>
      <x:c r="K13" s="15" t="str"/>
      <x:c r="L13" s="15" t="str">
        <x:v>Not Run</x:v>
      </x:c>
      <x:c r="M13" s="15" t="str"/>
    </x:row>
    <x:row r="14" ht="15" hidden="0" customHeight="1">
      <x:c r="A14" s="15" t="str">
        <x:v>EXEC-011</x:v>
      </x:c>
      <x:c r="B14" s="15" t="str">
        <x:v>SUP-011</x:v>
      </x:c>
      <x:c r="C14" s="15" t="str"/>
      <x:c r="D14" s="15" t="str"/>
      <x:c r="E14" s="15" t="str">
        <x:v>Manual</x:v>
      </x:c>
      <x:c r="F14" s="15" t="str"/>
      <x:c r="G14" s="15" t="str"/>
      <x:c r="H14" s="15" t="str"/>
      <x:c r="I14" s="15" t="str">
        <x:v>Not Run</x:v>
      </x:c>
      <x:c r="J14" s="15" t="str"/>
      <x:c r="K14" s="15" t="str"/>
      <x:c r="L14" s="15" t="str">
        <x:v>Not Run</x:v>
      </x:c>
      <x:c r="M14" s="15" t="str"/>
    </x:row>
    <x:row r="15" ht="15" hidden="0" customHeight="1">
      <x:c r="A15" s="15" t="str">
        <x:v>EXEC-012</x:v>
      </x:c>
      <x:c r="B15" s="15" t="str">
        <x:v>WH-001</x:v>
      </x:c>
      <x:c r="C15" s="15" t="str"/>
      <x:c r="D15" s="15" t="str"/>
      <x:c r="E15" s="15" t="str">
        <x:v>Manual</x:v>
      </x:c>
      <x:c r="F15" s="15" t="str"/>
      <x:c r="G15" s="15" t="str"/>
      <x:c r="H15" s="15" t="str"/>
      <x:c r="I15" s="15" t="str">
        <x:v>Not Run</x:v>
      </x:c>
      <x:c r="J15" s="15" t="str"/>
      <x:c r="K15" s="15" t="str"/>
      <x:c r="L15" s="15" t="str">
        <x:v>Not Run</x:v>
      </x:c>
      <x:c r="M15" s="15" t="str"/>
    </x:row>
    <x:row r="16" ht="15" hidden="0" customHeight="1">
      <x:c r="A16" s="15" t="str">
        <x:v>EXEC-013</x:v>
      </x:c>
      <x:c r="B16" s="15" t="str">
        <x:v>WH-002</x:v>
      </x:c>
      <x:c r="C16" s="15" t="str"/>
      <x:c r="D16" s="15" t="str"/>
      <x:c r="E16" s="15" t="str">
        <x:v>Manual</x:v>
      </x:c>
      <x:c r="F16" s="15" t="str"/>
      <x:c r="G16" s="15" t="str"/>
      <x:c r="H16" s="15" t="str"/>
      <x:c r="I16" s="15" t="str">
        <x:v>Not Run</x:v>
      </x:c>
      <x:c r="J16" s="15" t="str"/>
      <x:c r="K16" s="15" t="str"/>
      <x:c r="L16" s="15" t="str">
        <x:v>Not Run</x:v>
      </x:c>
      <x:c r="M16" s="15" t="str"/>
    </x:row>
    <x:row r="17" ht="15" hidden="0" customHeight="1">
      <x:c r="A17" s="15" t="str">
        <x:v>EXEC-014</x:v>
      </x:c>
      <x:c r="B17" s="15" t="str">
        <x:v>WH-003</x:v>
      </x:c>
      <x:c r="C17" s="15" t="str"/>
      <x:c r="D17" s="15" t="str"/>
      <x:c r="E17" s="15" t="str">
        <x:v>Manual</x:v>
      </x:c>
      <x:c r="F17" s="15" t="str"/>
      <x:c r="G17" s="15" t="str"/>
      <x:c r="H17" s="15" t="str"/>
      <x:c r="I17" s="15" t="str">
        <x:v>Not Run</x:v>
      </x:c>
      <x:c r="J17" s="15" t="str"/>
      <x:c r="K17" s="15" t="str"/>
      <x:c r="L17" s="15" t="str">
        <x:v>Not Run</x:v>
      </x:c>
      <x:c r="M17" s="15" t="str"/>
    </x:row>
    <x:row r="18" ht="15" hidden="0" customHeight="1">
      <x:c r="A18" s="15" t="str">
        <x:v>EXEC-015</x:v>
      </x:c>
      <x:c r="B18" s="15" t="str">
        <x:v>PR-001</x:v>
      </x:c>
      <x:c r="C18" s="15" t="str"/>
      <x:c r="D18" s="15" t="str"/>
      <x:c r="E18" s="15" t="str">
        <x:v>Manual</x:v>
      </x:c>
      <x:c r="F18" s="15" t="str"/>
      <x:c r="G18" s="15" t="str"/>
      <x:c r="H18" s="15" t="str"/>
      <x:c r="I18" s="15" t="str">
        <x:v>Not Run</x:v>
      </x:c>
      <x:c r="J18" s="15" t="str"/>
      <x:c r="K18" s="15" t="str"/>
      <x:c r="L18" s="15" t="str">
        <x:v>Not Run</x:v>
      </x:c>
      <x:c r="M18" s="15" t="str"/>
    </x:row>
    <x:row r="19" ht="15" hidden="0" customHeight="1">
      <x:c r="A19" s="15" t="str">
        <x:v>EXEC-016</x:v>
      </x:c>
      <x:c r="B19" s="15" t="str">
        <x:v>PR-002</x:v>
      </x:c>
      <x:c r="C19" s="15" t="str"/>
      <x:c r="D19" s="15" t="str"/>
      <x:c r="E19" s="15" t="str">
        <x:v>Manual</x:v>
      </x:c>
      <x:c r="F19" s="15" t="str"/>
      <x:c r="G19" s="15" t="str"/>
      <x:c r="H19" s="15" t="str"/>
      <x:c r="I19" s="15" t="str">
        <x:v>Not Run</x:v>
      </x:c>
      <x:c r="J19" s="15" t="str"/>
      <x:c r="K19" s="15" t="str"/>
      <x:c r="L19" s="15" t="str">
        <x:v>Not Run</x:v>
      </x:c>
      <x:c r="M19" s="15" t="str"/>
    </x:row>
    <x:row r="20" ht="15" hidden="0" customHeight="1">
      <x:c r="A20" s="15" t="str">
        <x:v>EXEC-017</x:v>
      </x:c>
      <x:c r="B20" s="15" t="str">
        <x:v>PR-003</x:v>
      </x:c>
      <x:c r="C20" s="15" t="str"/>
      <x:c r="D20" s="15" t="str"/>
      <x:c r="E20" s="15" t="str">
        <x:v>Manual</x:v>
      </x:c>
      <x:c r="F20" s="15" t="str"/>
      <x:c r="G20" s="15" t="str"/>
      <x:c r="H20" s="15" t="str"/>
      <x:c r="I20" s="15" t="str">
        <x:v>Not Run</x:v>
      </x:c>
      <x:c r="J20" s="15" t="str"/>
      <x:c r="K20" s="15" t="str"/>
      <x:c r="L20" s="15" t="str">
        <x:v>Not Run</x:v>
      </x:c>
      <x:c r="M20" s="15" t="str"/>
    </x:row>
    <x:row r="21" ht="15" hidden="0" customHeight="1">
      <x:c r="A21" s="15" t="str">
        <x:v>EXEC-018</x:v>
      </x:c>
      <x:c r="B21" s="15" t="str">
        <x:v>PR-004</x:v>
      </x:c>
      <x:c r="C21" s="15" t="str"/>
      <x:c r="D21" s="15" t="str"/>
      <x:c r="E21" s="15" t="str">
        <x:v>Manual</x:v>
      </x:c>
      <x:c r="F21" s="15" t="str"/>
      <x:c r="G21" s="15" t="str"/>
      <x:c r="H21" s="15" t="str"/>
      <x:c r="I21" s="15" t="str">
        <x:v>Not Run</x:v>
      </x:c>
      <x:c r="J21" s="15" t="str"/>
      <x:c r="K21" s="15" t="str"/>
      <x:c r="L21" s="15" t="str">
        <x:v>Not Run</x:v>
      </x:c>
      <x:c r="M21" s="15" t="str"/>
    </x:row>
    <x:row r="22" ht="15" hidden="0" customHeight="1">
      <x:c r="A22" s="15" t="str">
        <x:v>EXEC-019</x:v>
      </x:c>
      <x:c r="B22" s="15" t="str">
        <x:v>PR-005</x:v>
      </x:c>
      <x:c r="C22" s="15" t="str"/>
      <x:c r="D22" s="15" t="str"/>
      <x:c r="E22" s="15" t="str">
        <x:v>Manual</x:v>
      </x:c>
      <x:c r="F22" s="15" t="str"/>
      <x:c r="G22" s="15" t="str"/>
      <x:c r="H22" s="15" t="str"/>
      <x:c r="I22" s="15" t="str">
        <x:v>Not Run</x:v>
      </x:c>
      <x:c r="J22" s="15" t="str"/>
      <x:c r="K22" s="15" t="str"/>
      <x:c r="L22" s="15" t="str">
        <x:v>Not Run</x:v>
      </x:c>
      <x:c r="M22" s="15" t="str"/>
    </x:row>
    <x:row r="23" ht="15" hidden="0" customHeight="1">
      <x:c r="A23" s="15" t="str">
        <x:v>EXEC-020</x:v>
      </x:c>
      <x:c r="B23" s="15" t="str">
        <x:v>PR-006</x:v>
      </x:c>
      <x:c r="C23" s="15" t="str"/>
      <x:c r="D23" s="15" t="str"/>
      <x:c r="E23" s="15" t="str">
        <x:v>Manual</x:v>
      </x:c>
      <x:c r="F23" s="15" t="str"/>
      <x:c r="G23" s="15" t="str"/>
      <x:c r="H23" s="15" t="str"/>
      <x:c r="I23" s="15" t="str">
        <x:v>Not Run</x:v>
      </x:c>
      <x:c r="J23" s="15" t="str"/>
      <x:c r="K23" s="15" t="str"/>
      <x:c r="L23" s="15" t="str">
        <x:v>Not Run</x:v>
      </x:c>
      <x:c r="M23" s="15" t="str"/>
    </x:row>
    <x:row r="24" ht="15" hidden="0" customHeight="1">
      <x:c r="A24" s="15" t="str">
        <x:v>EXEC-021</x:v>
      </x:c>
      <x:c r="B24" s="15" t="str">
        <x:v>PR-007</x:v>
      </x:c>
      <x:c r="C24" s="15" t="str"/>
      <x:c r="D24" s="15" t="str"/>
      <x:c r="E24" s="15" t="str">
        <x:v>Manual</x:v>
      </x:c>
      <x:c r="F24" s="15" t="str"/>
      <x:c r="G24" s="15" t="str"/>
      <x:c r="H24" s="15" t="str"/>
      <x:c r="I24" s="15" t="str">
        <x:v>Not Run</x:v>
      </x:c>
      <x:c r="J24" s="15" t="str"/>
      <x:c r="K24" s="15" t="str"/>
      <x:c r="L24" s="15" t="str">
        <x:v>Not Run</x:v>
      </x:c>
      <x:c r="M24" s="15" t="str"/>
    </x:row>
    <x:row r="25" ht="15" hidden="0" customHeight="1">
      <x:c r="A25" s="15" t="str">
        <x:v>EXEC-022</x:v>
      </x:c>
      <x:c r="B25" s="15" t="str">
        <x:v>PR-008</x:v>
      </x:c>
      <x:c r="C25" s="15" t="str"/>
      <x:c r="D25" s="15" t="str"/>
      <x:c r="E25" s="15" t="str">
        <x:v>Manual</x:v>
      </x:c>
      <x:c r="F25" s="15" t="str"/>
      <x:c r="G25" s="15" t="str"/>
      <x:c r="H25" s="15" t="str"/>
      <x:c r="I25" s="15" t="str">
        <x:v>Not Run</x:v>
      </x:c>
      <x:c r="J25" s="15" t="str"/>
      <x:c r="K25" s="15" t="str"/>
      <x:c r="L25" s="15" t="str">
        <x:v>Not Run</x:v>
      </x:c>
      <x:c r="M25" s="15" t="str"/>
    </x:row>
    <x:row r="26" ht="15" hidden="0" customHeight="1">
      <x:c r="A26" s="15" t="str">
        <x:v>EXEC-023</x:v>
      </x:c>
      <x:c r="B26" s="15" t="str">
        <x:v>PR-009</x:v>
      </x:c>
      <x:c r="C26" s="15" t="str"/>
      <x:c r="D26" s="15" t="str"/>
      <x:c r="E26" s="15" t="str">
        <x:v>Manual</x:v>
      </x:c>
      <x:c r="F26" s="15" t="str"/>
      <x:c r="G26" s="15" t="str"/>
      <x:c r="H26" s="15" t="str"/>
      <x:c r="I26" s="15" t="str">
        <x:v>Not Run</x:v>
      </x:c>
      <x:c r="J26" s="15" t="str"/>
      <x:c r="K26" s="15" t="str"/>
      <x:c r="L26" s="15" t="str">
        <x:v>Not Run</x:v>
      </x:c>
      <x:c r="M26" s="15" t="str"/>
    </x:row>
    <x:row r="27" ht="15" hidden="0" customHeight="1">
      <x:c r="A27" s="15" t="str">
        <x:v>EXEC-024</x:v>
      </x:c>
      <x:c r="B27" s="15" t="str">
        <x:v>PR-010</x:v>
      </x:c>
      <x:c r="C27" s="15" t="str"/>
      <x:c r="D27" s="15" t="str"/>
      <x:c r="E27" s="15" t="str">
        <x:v>Manual</x:v>
      </x:c>
      <x:c r="F27" s="15" t="str"/>
      <x:c r="G27" s="15" t="str"/>
      <x:c r="H27" s="15" t="str"/>
      <x:c r="I27" s="15" t="str">
        <x:v>Not Run</x:v>
      </x:c>
      <x:c r="J27" s="15" t="str"/>
      <x:c r="K27" s="15" t="str"/>
      <x:c r="L27" s="15" t="str">
        <x:v>Not Run</x:v>
      </x:c>
      <x:c r="M27" s="15" t="str"/>
    </x:row>
    <x:row r="28" ht="15" hidden="0" customHeight="1">
      <x:c r="A28" s="15" t="str">
        <x:v>EXEC-025</x:v>
      </x:c>
      <x:c r="B28" s="15" t="str">
        <x:v>APR-001</x:v>
      </x:c>
      <x:c r="C28" s="15" t="str"/>
      <x:c r="D28" s="15" t="str"/>
      <x:c r="E28" s="15" t="str">
        <x:v>Manual</x:v>
      </x:c>
      <x:c r="F28" s="15" t="str"/>
      <x:c r="G28" s="15" t="str"/>
      <x:c r="H28" s="15" t="str"/>
      <x:c r="I28" s="15" t="str">
        <x:v>Not Run</x:v>
      </x:c>
      <x:c r="J28" s="15" t="str"/>
      <x:c r="K28" s="15" t="str"/>
      <x:c r="L28" s="15" t="str">
        <x:v>Not Run</x:v>
      </x:c>
      <x:c r="M28" s="15" t="str"/>
    </x:row>
    <x:row r="29" ht="15" hidden="0" customHeight="1">
      <x:c r="A29" s="15" t="str">
        <x:v>EXEC-026</x:v>
      </x:c>
      <x:c r="B29" s="15" t="str">
        <x:v>APR-002</x:v>
      </x:c>
      <x:c r="C29" s="15" t="str"/>
      <x:c r="D29" s="15" t="str"/>
      <x:c r="E29" s="15" t="str">
        <x:v>Manual</x:v>
      </x:c>
      <x:c r="F29" s="15" t="str"/>
      <x:c r="G29" s="15" t="str"/>
      <x:c r="H29" s="15" t="str"/>
      <x:c r="I29" s="15" t="str">
        <x:v>Not Run</x:v>
      </x:c>
      <x:c r="J29" s="15" t="str"/>
      <x:c r="K29" s="15" t="str"/>
      <x:c r="L29" s="15" t="str">
        <x:v>Not Run</x:v>
      </x:c>
      <x:c r="M29" s="15" t="str"/>
    </x:row>
    <x:row r="30" ht="15" hidden="0" customHeight="1">
      <x:c r="A30" s="15" t="str">
        <x:v>EXEC-027</x:v>
      </x:c>
      <x:c r="B30" s="15" t="str">
        <x:v>APR-003</x:v>
      </x:c>
      <x:c r="C30" s="15" t="str"/>
      <x:c r="D30" s="15" t="str"/>
      <x:c r="E30" s="15" t="str">
        <x:v>Manual</x:v>
      </x:c>
      <x:c r="F30" s="15" t="str"/>
      <x:c r="G30" s="15" t="str"/>
      <x:c r="H30" s="15" t="str"/>
      <x:c r="I30" s="15" t="str">
        <x:v>Not Run</x:v>
      </x:c>
      <x:c r="J30" s="15" t="str"/>
      <x:c r="K30" s="15" t="str"/>
      <x:c r="L30" s="15" t="str">
        <x:v>Not Run</x:v>
      </x:c>
      <x:c r="M30" s="15" t="str"/>
    </x:row>
    <x:row r="31" ht="15" hidden="0" customHeight="1">
      <x:c r="A31" s="15" t="str">
        <x:v>EXEC-028</x:v>
      </x:c>
      <x:c r="B31" s="15" t="str">
        <x:v>APR-004</x:v>
      </x:c>
      <x:c r="C31" s="15" t="str"/>
      <x:c r="D31" s="15" t="str"/>
      <x:c r="E31" s="15" t="str">
        <x:v>Manual</x:v>
      </x:c>
      <x:c r="F31" s="15" t="str"/>
      <x:c r="G31" s="15" t="str"/>
      <x:c r="H31" s="15" t="str"/>
      <x:c r="I31" s="15" t="str">
        <x:v>Not Run</x:v>
      </x:c>
      <x:c r="J31" s="15" t="str"/>
      <x:c r="K31" s="15" t="str"/>
      <x:c r="L31" s="15" t="str">
        <x:v>Not Run</x:v>
      </x:c>
      <x:c r="M31" s="15" t="str"/>
    </x:row>
    <x:row r="32" ht="15" hidden="0" customHeight="1">
      <x:c r="A32" s="15" t="str">
        <x:v>EXEC-029</x:v>
      </x:c>
      <x:c r="B32" s="15" t="str">
        <x:v>APR-005</x:v>
      </x:c>
      <x:c r="C32" s="15" t="str"/>
      <x:c r="D32" s="15" t="str"/>
      <x:c r="E32" s="15" t="str">
        <x:v>Manual</x:v>
      </x:c>
      <x:c r="F32" s="15" t="str"/>
      <x:c r="G32" s="15" t="str"/>
      <x:c r="H32" s="15" t="str"/>
      <x:c r="I32" s="15" t="str">
        <x:v>Not Run</x:v>
      </x:c>
      <x:c r="J32" s="15" t="str"/>
      <x:c r="K32" s="15" t="str"/>
      <x:c r="L32" s="15" t="str">
        <x:v>Not Run</x:v>
      </x:c>
      <x:c r="M32" s="15" t="str"/>
    </x:row>
    <x:row r="33" ht="15" hidden="0" customHeight="1">
      <x:c r="A33" s="15" t="str">
        <x:v>EXEC-030</x:v>
      </x:c>
      <x:c r="B33" s="15" t="str">
        <x:v>APR-006</x:v>
      </x:c>
      <x:c r="C33" s="15" t="str"/>
      <x:c r="D33" s="15" t="str"/>
      <x:c r="E33" s="15" t="str">
        <x:v>Manual</x:v>
      </x:c>
      <x:c r="F33" s="15" t="str"/>
      <x:c r="G33" s="15" t="str"/>
      <x:c r="H33" s="15" t="str"/>
      <x:c r="I33" s="15" t="str">
        <x:v>Not Run</x:v>
      </x:c>
      <x:c r="J33" s="15" t="str"/>
      <x:c r="K33" s="15" t="str"/>
      <x:c r="L33" s="15" t="str">
        <x:v>Not Run</x:v>
      </x:c>
      <x:c r="M33" s="15" t="str"/>
    </x:row>
    <x:row r="34" ht="15" hidden="0" customHeight="1">
      <x:c r="A34" s="15" t="str">
        <x:v>EXEC-031</x:v>
      </x:c>
      <x:c r="B34" s="15" t="str">
        <x:v>APR-007</x:v>
      </x:c>
      <x:c r="C34" s="15" t="str"/>
      <x:c r="D34" s="15" t="str"/>
      <x:c r="E34" s="15" t="str">
        <x:v>Manual</x:v>
      </x:c>
      <x:c r="F34" s="15" t="str"/>
      <x:c r="G34" s="15" t="str"/>
      <x:c r="H34" s="15" t="str"/>
      <x:c r="I34" s="15" t="str">
        <x:v>Not Run</x:v>
      </x:c>
      <x:c r="J34" s="15" t="str"/>
      <x:c r="K34" s="15" t="str"/>
      <x:c r="L34" s="15" t="str">
        <x:v>Not Run</x:v>
      </x:c>
      <x:c r="M34" s="15" t="str"/>
    </x:row>
    <x:row r="35" ht="15" hidden="0" customHeight="1">
      <x:c r="A35" s="15" t="str">
        <x:v>EXEC-032</x:v>
      </x:c>
      <x:c r="B35" s="15" t="str">
        <x:v>APR-008</x:v>
      </x:c>
      <x:c r="C35" s="15" t="str"/>
      <x:c r="D35" s="15" t="str"/>
      <x:c r="E35" s="15" t="str">
        <x:v>Manual</x:v>
      </x:c>
      <x:c r="F35" s="15" t="str"/>
      <x:c r="G35" s="15" t="str"/>
      <x:c r="H35" s="15" t="str"/>
      <x:c r="I35" s="15" t="str">
        <x:v>Not Run</x:v>
      </x:c>
      <x:c r="J35" s="15" t="str"/>
      <x:c r="K35" s="15" t="str"/>
      <x:c r="L35" s="15" t="str">
        <x:v>Not Run</x:v>
      </x:c>
      <x:c r="M35" s="15" t="str"/>
    </x:row>
    <x:row r="36" ht="15" hidden="0" customHeight="1">
      <x:c r="A36" s="15" t="str">
        <x:v>EXEC-033</x:v>
      </x:c>
      <x:c r="B36" s="15" t="str">
        <x:v>APR-009</x:v>
      </x:c>
      <x:c r="C36" s="15" t="str"/>
      <x:c r="D36" s="15" t="str"/>
      <x:c r="E36" s="15" t="str">
        <x:v>Manual</x:v>
      </x:c>
      <x:c r="F36" s="15" t="str"/>
      <x:c r="G36" s="15" t="str"/>
      <x:c r="H36" s="15" t="str"/>
      <x:c r="I36" s="15" t="str">
        <x:v>Not Run</x:v>
      </x:c>
      <x:c r="J36" s="15" t="str"/>
      <x:c r="K36" s="15" t="str"/>
      <x:c r="L36" s="15" t="str">
        <x:v>Not Run</x:v>
      </x:c>
      <x:c r="M36" s="15" t="str"/>
    </x:row>
    <x:row r="37" ht="15" hidden="0" customHeight="1">
      <x:c r="A37" s="15" t="str">
        <x:v>EXEC-034</x:v>
      </x:c>
      <x:c r="B37" s="15" t="str">
        <x:v>PO-001</x:v>
      </x:c>
      <x:c r="C37" s="15" t="str"/>
      <x:c r="D37" s="15" t="str"/>
      <x:c r="E37" s="15" t="str">
        <x:v>Manual</x:v>
      </x:c>
      <x:c r="F37" s="15" t="str"/>
      <x:c r="G37" s="15" t="str"/>
      <x:c r="H37" s="15" t="str"/>
      <x:c r="I37" s="15" t="str">
        <x:v>Not Run</x:v>
      </x:c>
      <x:c r="J37" s="15" t="str"/>
      <x:c r="K37" s="15" t="str"/>
      <x:c r="L37" s="15" t="str">
        <x:v>Not Run</x:v>
      </x:c>
      <x:c r="M37" s="15" t="str"/>
    </x:row>
    <x:row r="38" ht="15" hidden="0" customHeight="1">
      <x:c r="A38" s="15" t="str">
        <x:v>EXEC-035</x:v>
      </x:c>
      <x:c r="B38" s="15" t="str">
        <x:v>PO-002</x:v>
      </x:c>
      <x:c r="C38" s="15" t="str"/>
      <x:c r="D38" s="15" t="str"/>
      <x:c r="E38" s="15" t="str">
        <x:v>Manual</x:v>
      </x:c>
      <x:c r="F38" s="15" t="str"/>
      <x:c r="G38" s="15" t="str"/>
      <x:c r="H38" s="15" t="str"/>
      <x:c r="I38" s="15" t="str">
        <x:v>Not Run</x:v>
      </x:c>
      <x:c r="J38" s="15" t="str"/>
      <x:c r="K38" s="15" t="str"/>
      <x:c r="L38" s="15" t="str">
        <x:v>Not Run</x:v>
      </x:c>
      <x:c r="M38" s="15" t="str"/>
    </x:row>
    <x:row r="39" ht="15" hidden="0" customHeight="1">
      <x:c r="A39" s="15" t="str">
        <x:v>EXEC-036</x:v>
      </x:c>
      <x:c r="B39" s="15" t="str">
        <x:v>PO-003</x:v>
      </x:c>
      <x:c r="C39" s="15" t="str"/>
      <x:c r="D39" s="15" t="str"/>
      <x:c r="E39" s="15" t="str">
        <x:v>Manual</x:v>
      </x:c>
      <x:c r="F39" s="15" t="str"/>
      <x:c r="G39" s="15" t="str"/>
      <x:c r="H39" s="15" t="str"/>
      <x:c r="I39" s="15" t="str">
        <x:v>Not Run</x:v>
      </x:c>
      <x:c r="J39" s="15" t="str"/>
      <x:c r="K39" s="15" t="str"/>
      <x:c r="L39" s="15" t="str">
        <x:v>Not Run</x:v>
      </x:c>
      <x:c r="M39" s="15" t="str"/>
    </x:row>
    <x:row r="40" ht="15" hidden="0" customHeight="1">
      <x:c r="A40" s="15" t="str">
        <x:v>EXEC-037</x:v>
      </x:c>
      <x:c r="B40" s="15" t="str">
        <x:v>PO-004</x:v>
      </x:c>
      <x:c r="C40" s="15" t="str"/>
      <x:c r="D40" s="15" t="str"/>
      <x:c r="E40" s="15" t="str">
        <x:v>Manual</x:v>
      </x:c>
      <x:c r="F40" s="15" t="str"/>
      <x:c r="G40" s="15" t="str"/>
      <x:c r="H40" s="15" t="str"/>
      <x:c r="I40" s="15" t="str">
        <x:v>Not Run</x:v>
      </x:c>
      <x:c r="J40" s="15" t="str"/>
      <x:c r="K40" s="15" t="str"/>
      <x:c r="L40" s="15" t="str">
        <x:v>Not Run</x:v>
      </x:c>
      <x:c r="M40" s="15" t="str"/>
    </x:row>
    <x:row r="41" ht="15" hidden="0" customHeight="1">
      <x:c r="A41" s="15" t="str">
        <x:v>EXEC-038</x:v>
      </x:c>
      <x:c r="B41" s="15" t="str">
        <x:v>PO-005</x:v>
      </x:c>
      <x:c r="C41" s="15" t="str"/>
      <x:c r="D41" s="15" t="str"/>
      <x:c r="E41" s="15" t="str">
        <x:v>Manual</x:v>
      </x:c>
      <x:c r="F41" s="15" t="str"/>
      <x:c r="G41" s="15" t="str"/>
      <x:c r="H41" s="15" t="str"/>
      <x:c r="I41" s="15" t="str">
        <x:v>Not Run</x:v>
      </x:c>
      <x:c r="J41" s="15" t="str"/>
      <x:c r="K41" s="15" t="str"/>
      <x:c r="L41" s="15" t="str">
        <x:v>Not Run</x:v>
      </x:c>
      <x:c r="M41" s="15" t="str"/>
    </x:row>
    <x:row r="42" ht="15" hidden="0" customHeight="1">
      <x:c r="A42" s="15" t="str">
        <x:v>EXEC-039</x:v>
      </x:c>
      <x:c r="B42" s="15" t="str">
        <x:v>PO-006</x:v>
      </x:c>
      <x:c r="C42" s="15" t="str"/>
      <x:c r="D42" s="15" t="str"/>
      <x:c r="E42" s="15" t="str">
        <x:v>Manual</x:v>
      </x:c>
      <x:c r="F42" s="15" t="str"/>
      <x:c r="G42" s="15" t="str"/>
      <x:c r="H42" s="15" t="str"/>
      <x:c r="I42" s="15" t="str">
        <x:v>Not Run</x:v>
      </x:c>
      <x:c r="J42" s="15" t="str"/>
      <x:c r="K42" s="15" t="str"/>
      <x:c r="L42" s="15" t="str">
        <x:v>Not Run</x:v>
      </x:c>
      <x:c r="M42" s="15" t="str"/>
    </x:row>
    <x:row r="43" ht="15" hidden="0" customHeight="1">
      <x:c r="A43" s="15" t="str">
        <x:v>EXEC-040</x:v>
      </x:c>
      <x:c r="B43" s="15" t="str">
        <x:v>PO-007</x:v>
      </x:c>
      <x:c r="C43" s="15" t="str"/>
      <x:c r="D43" s="15" t="str"/>
      <x:c r="E43" s="15" t="str">
        <x:v>Manual</x:v>
      </x:c>
      <x:c r="F43" s="15" t="str"/>
      <x:c r="G43" s="15" t="str"/>
      <x:c r="H43" s="15" t="str"/>
      <x:c r="I43" s="15" t="str">
        <x:v>Not Run</x:v>
      </x:c>
      <x:c r="J43" s="15" t="str"/>
      <x:c r="K43" s="15" t="str"/>
      <x:c r="L43" s="15" t="str">
        <x:v>Not Run</x:v>
      </x:c>
      <x:c r="M43" s="15" t="str"/>
    </x:row>
    <x:row r="44" ht="15" hidden="0" customHeight="1">
      <x:c r="A44" s="15" t="str">
        <x:v>EXEC-041</x:v>
      </x:c>
      <x:c r="B44" s="15" t="str">
        <x:v>PO-008</x:v>
      </x:c>
      <x:c r="C44" s="15" t="str"/>
      <x:c r="D44" s="15" t="str"/>
      <x:c r="E44" s="15" t="str">
        <x:v>Manual</x:v>
      </x:c>
      <x:c r="F44" s="15" t="str"/>
      <x:c r="G44" s="15" t="str"/>
      <x:c r="H44" s="15" t="str"/>
      <x:c r="I44" s="15" t="str">
        <x:v>Not Run</x:v>
      </x:c>
      <x:c r="J44" s="15" t="str"/>
      <x:c r="K44" s="15" t="str"/>
      <x:c r="L44" s="15" t="str">
        <x:v>Not Run</x:v>
      </x:c>
      <x:c r="M44" s="15" t="str"/>
    </x:row>
    <x:row r="45" ht="15" hidden="0" customHeight="1">
      <x:c r="A45" s="15" t="str">
        <x:v>EXEC-042</x:v>
      </x:c>
      <x:c r="B45" s="15" t="str">
        <x:v>PO-009</x:v>
      </x:c>
      <x:c r="C45" s="15" t="str"/>
      <x:c r="D45" s="15" t="str"/>
      <x:c r="E45" s="15" t="str">
        <x:v>Manual</x:v>
      </x:c>
      <x:c r="F45" s="15" t="str"/>
      <x:c r="G45" s="15" t="str"/>
      <x:c r="H45" s="15" t="str"/>
      <x:c r="I45" s="15" t="str">
        <x:v>Not Run</x:v>
      </x:c>
      <x:c r="J45" s="15" t="str"/>
      <x:c r="K45" s="15" t="str"/>
      <x:c r="L45" s="15" t="str">
        <x:v>Not Run</x:v>
      </x:c>
      <x:c r="M45" s="15" t="str"/>
    </x:row>
    <x:row r="46" ht="15" hidden="0" customHeight="1">
      <x:c r="A46" s="15" t="str">
        <x:v>EXEC-043</x:v>
      </x:c>
      <x:c r="B46" s="15" t="str">
        <x:v>PO-010</x:v>
      </x:c>
      <x:c r="C46" s="15" t="str"/>
      <x:c r="D46" s="15" t="str"/>
      <x:c r="E46" s="15" t="str">
        <x:v>Manual</x:v>
      </x:c>
      <x:c r="F46" s="15" t="str"/>
      <x:c r="G46" s="15" t="str"/>
      <x:c r="H46" s="15" t="str"/>
      <x:c r="I46" s="15" t="str">
        <x:v>Not Run</x:v>
      </x:c>
      <x:c r="J46" s="15" t="str"/>
      <x:c r="K46" s="15" t="str"/>
      <x:c r="L46" s="15" t="str">
        <x:v>Not Run</x:v>
      </x:c>
      <x:c r="M46" s="15" t="str"/>
    </x:row>
    <x:row r="47" ht="15" hidden="0" customHeight="1">
      <x:c r="A47" s="15" t="str">
        <x:v>EXEC-044</x:v>
      </x:c>
      <x:c r="B47" s="15" t="str">
        <x:v>GRN-001</x:v>
      </x:c>
      <x:c r="C47" s="15" t="str"/>
      <x:c r="D47" s="15" t="str"/>
      <x:c r="E47" s="15" t="str">
        <x:v>Manual</x:v>
      </x:c>
      <x:c r="F47" s="15" t="str"/>
      <x:c r="G47" s="15" t="str"/>
      <x:c r="H47" s="15" t="str"/>
      <x:c r="I47" s="15" t="str">
        <x:v>Not Run</x:v>
      </x:c>
      <x:c r="J47" s="15" t="str"/>
      <x:c r="K47" s="15" t="str"/>
      <x:c r="L47" s="15" t="str">
        <x:v>Not Run</x:v>
      </x:c>
      <x:c r="M47" s="15" t="str"/>
    </x:row>
    <x:row r="48" ht="15" hidden="0" customHeight="1">
      <x:c r="A48" s="15" t="str">
        <x:v>EXEC-045</x:v>
      </x:c>
      <x:c r="B48" s="15" t="str">
        <x:v>GRN-002</x:v>
      </x:c>
      <x:c r="C48" s="15" t="str"/>
      <x:c r="D48" s="15" t="str"/>
      <x:c r="E48" s="15" t="str">
        <x:v>Manual</x:v>
      </x:c>
      <x:c r="F48" s="15" t="str"/>
      <x:c r="G48" s="15" t="str"/>
      <x:c r="H48" s="15" t="str"/>
      <x:c r="I48" s="15" t="str">
        <x:v>Not Run</x:v>
      </x:c>
      <x:c r="J48" s="15" t="str"/>
      <x:c r="K48" s="15" t="str"/>
      <x:c r="L48" s="15" t="str">
        <x:v>Not Run</x:v>
      </x:c>
      <x:c r="M48" s="15" t="str"/>
    </x:row>
    <x:row r="49" ht="15" hidden="0" customHeight="1">
      <x:c r="A49" s="15" t="str">
        <x:v>EXEC-046</x:v>
      </x:c>
      <x:c r="B49" s="15" t="str">
        <x:v>GRN-003</x:v>
      </x:c>
      <x:c r="C49" s="15" t="str"/>
      <x:c r="D49" s="15" t="str"/>
      <x:c r="E49" s="15" t="str">
        <x:v>Manual</x:v>
      </x:c>
      <x:c r="F49" s="15" t="str"/>
      <x:c r="G49" s="15" t="str"/>
      <x:c r="H49" s="15" t="str"/>
      <x:c r="I49" s="15" t="str">
        <x:v>Not Run</x:v>
      </x:c>
      <x:c r="J49" s="15" t="str"/>
      <x:c r="K49" s="15" t="str"/>
      <x:c r="L49" s="15" t="str">
        <x:v>Not Run</x:v>
      </x:c>
      <x:c r="M49" s="15" t="str"/>
    </x:row>
    <x:row r="50" ht="15" hidden="0" customHeight="1">
      <x:c r="A50" s="15" t="str">
        <x:v>EXEC-047</x:v>
      </x:c>
      <x:c r="B50" s="15" t="str">
        <x:v>GRN-004</x:v>
      </x:c>
      <x:c r="C50" s="15" t="str"/>
      <x:c r="D50" s="15" t="str"/>
      <x:c r="E50" s="15" t="str">
        <x:v>Manual</x:v>
      </x:c>
      <x:c r="F50" s="15" t="str"/>
      <x:c r="G50" s="15" t="str"/>
      <x:c r="H50" s="15" t="str"/>
      <x:c r="I50" s="15" t="str">
        <x:v>Not Run</x:v>
      </x:c>
      <x:c r="J50" s="15" t="str"/>
      <x:c r="K50" s="15" t="str"/>
      <x:c r="L50" s="15" t="str">
        <x:v>Not Run</x:v>
      </x:c>
      <x:c r="M50" s="15" t="str"/>
    </x:row>
    <x:row r="51" ht="15" hidden="0" customHeight="1">
      <x:c r="A51" s="15" t="str">
        <x:v>EXEC-048</x:v>
      </x:c>
      <x:c r="B51" s="15" t="str">
        <x:v>GRN-005</x:v>
      </x:c>
      <x:c r="C51" s="15" t="str"/>
      <x:c r="D51" s="15" t="str"/>
      <x:c r="E51" s="15" t="str">
        <x:v>Manual</x:v>
      </x:c>
      <x:c r="F51" s="15" t="str"/>
      <x:c r="G51" s="15" t="str"/>
      <x:c r="H51" s="15" t="str"/>
      <x:c r="I51" s="15" t="str">
        <x:v>Not Run</x:v>
      </x:c>
      <x:c r="J51" s="15" t="str"/>
      <x:c r="K51" s="15" t="str"/>
      <x:c r="L51" s="15" t="str">
        <x:v>Not Run</x:v>
      </x:c>
      <x:c r="M51" s="15" t="str"/>
    </x:row>
    <x:row r="52" ht="15" hidden="0" customHeight="1">
      <x:c r="A52" s="15" t="str">
        <x:v>EXEC-049</x:v>
      </x:c>
      <x:c r="B52" s="15" t="str">
        <x:v>GRN-006</x:v>
      </x:c>
      <x:c r="C52" s="15" t="str"/>
      <x:c r="D52" s="15" t="str"/>
      <x:c r="E52" s="15" t="str">
        <x:v>Manual</x:v>
      </x:c>
      <x:c r="F52" s="15" t="str"/>
      <x:c r="G52" s="15" t="str"/>
      <x:c r="H52" s="15" t="str"/>
      <x:c r="I52" s="15" t="str">
        <x:v>Not Run</x:v>
      </x:c>
      <x:c r="J52" s="15" t="str"/>
      <x:c r="K52" s="15" t="str"/>
      <x:c r="L52" s="15" t="str">
        <x:v>Not Run</x:v>
      </x:c>
      <x:c r="M52" s="15" t="str"/>
    </x:row>
    <x:row r="53" ht="15" hidden="0" customHeight="1">
      <x:c r="A53" s="15" t="str">
        <x:v>EXEC-050</x:v>
      </x:c>
      <x:c r="B53" s="15" t="str">
        <x:v>GRN-007</x:v>
      </x:c>
      <x:c r="C53" s="15" t="str"/>
      <x:c r="D53" s="15" t="str"/>
      <x:c r="E53" s="15" t="str">
        <x:v>Manual</x:v>
      </x:c>
      <x:c r="F53" s="15" t="str"/>
      <x:c r="G53" s="15" t="str"/>
      <x:c r="H53" s="15" t="str"/>
      <x:c r="I53" s="15" t="str">
        <x:v>Not Run</x:v>
      </x:c>
      <x:c r="J53" s="15" t="str"/>
      <x:c r="K53" s="15" t="str"/>
      <x:c r="L53" s="15" t="str">
        <x:v>Not Run</x:v>
      </x:c>
      <x:c r="M53" s="15" t="str"/>
    </x:row>
    <x:row r="54" ht="15" hidden="0" customHeight="1">
      <x:c r="A54" s="15" t="str">
        <x:v>EXEC-051</x:v>
      </x:c>
      <x:c r="B54" s="15" t="str">
        <x:v>GRN-008</x:v>
      </x:c>
      <x:c r="C54" s="15" t="str"/>
      <x:c r="D54" s="15" t="str"/>
      <x:c r="E54" s="15" t="str">
        <x:v>Manual</x:v>
      </x:c>
      <x:c r="F54" s="15" t="str"/>
      <x:c r="G54" s="15" t="str"/>
      <x:c r="H54" s="15" t="str"/>
      <x:c r="I54" s="15" t="str">
        <x:v>Not Run</x:v>
      </x:c>
      <x:c r="J54" s="15" t="str"/>
      <x:c r="K54" s="15" t="str"/>
      <x:c r="L54" s="15" t="str">
        <x:v>Not Run</x:v>
      </x:c>
      <x:c r="M54" s="15" t="str"/>
    </x:row>
    <x:row r="55" ht="15" hidden="0" customHeight="1">
      <x:c r="A55" s="15" t="str">
        <x:v>EXEC-052</x:v>
      </x:c>
      <x:c r="B55" s="15" t="str">
        <x:v>INV-001</x:v>
      </x:c>
      <x:c r="C55" s="15" t="str"/>
      <x:c r="D55" s="15" t="str"/>
      <x:c r="E55" s="15" t="str">
        <x:v>Manual</x:v>
      </x:c>
      <x:c r="F55" s="15" t="str"/>
      <x:c r="G55" s="15" t="str"/>
      <x:c r="H55" s="15" t="str"/>
      <x:c r="I55" s="15" t="str">
        <x:v>Not Run</x:v>
      </x:c>
      <x:c r="J55" s="15" t="str"/>
      <x:c r="K55" s="15" t="str"/>
      <x:c r="L55" s="15" t="str">
        <x:v>Not Run</x:v>
      </x:c>
      <x:c r="M55" s="15" t="str"/>
    </x:row>
    <x:row r="56" ht="15" hidden="0" customHeight="1">
      <x:c r="A56" s="15" t="str">
        <x:v>EXEC-053</x:v>
      </x:c>
      <x:c r="B56" s="15" t="str">
        <x:v>INV-002</x:v>
      </x:c>
      <x:c r="C56" s="15" t="str"/>
      <x:c r="D56" s="15" t="str"/>
      <x:c r="E56" s="15" t="str">
        <x:v>Manual</x:v>
      </x:c>
      <x:c r="F56" s="15" t="str"/>
      <x:c r="G56" s="15" t="str"/>
      <x:c r="H56" s="15" t="str"/>
      <x:c r="I56" s="15" t="str">
        <x:v>Not Run</x:v>
      </x:c>
      <x:c r="J56" s="15" t="str"/>
      <x:c r="K56" s="15" t="str"/>
      <x:c r="L56" s="15" t="str">
        <x:v>Not Run</x:v>
      </x:c>
      <x:c r="M56" s="15" t="str"/>
    </x:row>
    <x:row r="57" ht="15" hidden="0" customHeight="1">
      <x:c r="A57" s="15" t="str">
        <x:v>EXEC-054</x:v>
      </x:c>
      <x:c r="B57" s="15" t="str">
        <x:v>INV-003</x:v>
      </x:c>
      <x:c r="C57" s="15" t="str"/>
      <x:c r="D57" s="15" t="str"/>
      <x:c r="E57" s="15" t="str">
        <x:v>Manual</x:v>
      </x:c>
      <x:c r="F57" s="15" t="str"/>
      <x:c r="G57" s="15" t="str"/>
      <x:c r="H57" s="15" t="str"/>
      <x:c r="I57" s="15" t="str">
        <x:v>Not Run</x:v>
      </x:c>
      <x:c r="J57" s="15" t="str"/>
      <x:c r="K57" s="15" t="str"/>
      <x:c r="L57" s="15" t="str">
        <x:v>Not Run</x:v>
      </x:c>
      <x:c r="M57" s="15" t="str"/>
    </x:row>
    <x:row r="58" ht="15" hidden="0" customHeight="1">
      <x:c r="A58" s="15" t="str">
        <x:v>EXEC-055</x:v>
      </x:c>
      <x:c r="B58" s="15" t="str">
        <x:v>SEC-001</x:v>
      </x:c>
      <x:c r="C58" s="15" t="str"/>
      <x:c r="D58" s="15" t="str"/>
      <x:c r="E58" s="15" t="str">
        <x:v>Manual</x:v>
      </x:c>
      <x:c r="F58" s="15" t="str"/>
      <x:c r="G58" s="15" t="str"/>
      <x:c r="H58" s="15" t="str"/>
      <x:c r="I58" s="15" t="str">
        <x:v>Not Run</x:v>
      </x:c>
      <x:c r="J58" s="15" t="str"/>
      <x:c r="K58" s="15" t="str"/>
      <x:c r="L58" s="15" t="str">
        <x:v>Not Run</x:v>
      </x:c>
      <x:c r="M58" s="15" t="str"/>
    </x:row>
    <x:row r="59" ht="15" hidden="0" customHeight="1">
      <x:c r="A59" s="15" t="str">
        <x:v>EXEC-056</x:v>
      </x:c>
      <x:c r="B59" s="15" t="str">
        <x:v>SEC-002</x:v>
      </x:c>
      <x:c r="C59" s="15" t="str"/>
      <x:c r="D59" s="15" t="str"/>
      <x:c r="E59" s="15" t="str">
        <x:v>Manual</x:v>
      </x:c>
      <x:c r="F59" s="15" t="str"/>
      <x:c r="G59" s="15" t="str"/>
      <x:c r="H59" s="15" t="str"/>
      <x:c r="I59" s="15" t="str">
        <x:v>Not Run</x:v>
      </x:c>
      <x:c r="J59" s="15" t="str"/>
      <x:c r="K59" s="15" t="str"/>
      <x:c r="L59" s="15" t="str">
        <x:v>Not Run</x:v>
      </x:c>
      <x:c r="M59" s="15" t="str"/>
    </x:row>
    <x:row r="60" ht="15" hidden="0" customHeight="1">
      <x:c r="A60" s="15" t="str">
        <x:v>EXEC-057</x:v>
      </x:c>
      <x:c r="B60" s="15" t="str">
        <x:v>SEC-003</x:v>
      </x:c>
      <x:c r="C60" s="15" t="str"/>
      <x:c r="D60" s="15" t="str"/>
      <x:c r="E60" s="15" t="str">
        <x:v>Manual</x:v>
      </x:c>
      <x:c r="F60" s="15" t="str"/>
      <x:c r="G60" s="15" t="str"/>
      <x:c r="H60" s="15" t="str"/>
      <x:c r="I60" s="15" t="str">
        <x:v>Not Run</x:v>
      </x:c>
      <x:c r="J60" s="15" t="str"/>
      <x:c r="K60" s="15" t="str"/>
      <x:c r="L60" s="15" t="str">
        <x:v>Not Run</x:v>
      </x:c>
      <x:c r="M60" s="15" t="str"/>
    </x:row>
    <x:row r="61" ht="15" hidden="0" customHeight="1">
      <x:c r="A61" s="15" t="str">
        <x:v>EXEC-058</x:v>
      </x:c>
      <x:c r="B61" s="15" t="str">
        <x:v>SEC-004</x:v>
      </x:c>
      <x:c r="C61" s="15" t="str"/>
      <x:c r="D61" s="15" t="str"/>
      <x:c r="E61" s="15" t="str">
        <x:v>Manual</x:v>
      </x:c>
      <x:c r="F61" s="15" t="str"/>
      <x:c r="G61" s="15" t="str"/>
      <x:c r="H61" s="15" t="str"/>
      <x:c r="I61" s="15" t="str">
        <x:v>Not Run</x:v>
      </x:c>
      <x:c r="J61" s="15" t="str"/>
      <x:c r="K61" s="15" t="str"/>
      <x:c r="L61" s="15" t="str">
        <x:v>Not Run</x:v>
      </x:c>
      <x:c r="M61" s="15" t="str"/>
    </x:row>
    <x:row r="62" ht="15" hidden="0" customHeight="1">
      <x:c r="A62" s="15" t="str">
        <x:v>EXEC-059</x:v>
      </x:c>
      <x:c r="B62" s="15" t="str">
        <x:v>SEC-005</x:v>
      </x:c>
      <x:c r="C62" s="15" t="str"/>
      <x:c r="D62" s="15" t="str"/>
      <x:c r="E62" s="15" t="str">
        <x:v>Manual</x:v>
      </x:c>
      <x:c r="F62" s="15" t="str"/>
      <x:c r="G62" s="15" t="str"/>
      <x:c r="H62" s="15" t="str"/>
      <x:c r="I62" s="15" t="str">
        <x:v>Not Run</x:v>
      </x:c>
      <x:c r="J62" s="15" t="str"/>
      <x:c r="K62" s="15" t="str"/>
      <x:c r="L62" s="15" t="str">
        <x:v>Not Run</x:v>
      </x:c>
      <x:c r="M62" s="15" t="str"/>
    </x:row>
    <x:row r="63" ht="15" hidden="0" customHeight="1">
      <x:c r="A63" s="15" t="str">
        <x:v>EXEC-060</x:v>
      </x:c>
      <x:c r="B63" s="15" t="str">
        <x:v>SEC-006</x:v>
      </x:c>
      <x:c r="C63" s="15" t="str"/>
      <x:c r="D63" s="15" t="str"/>
      <x:c r="E63" s="15" t="str">
        <x:v>Manual</x:v>
      </x:c>
      <x:c r="F63" s="15" t="str"/>
      <x:c r="G63" s="15" t="str"/>
      <x:c r="H63" s="15" t="str"/>
      <x:c r="I63" s="15" t="str">
        <x:v>Not Run</x:v>
      </x:c>
      <x:c r="J63" s="15" t="str"/>
      <x:c r="K63" s="15" t="str"/>
      <x:c r="L63" s="15" t="str">
        <x:v>Not Run</x:v>
      </x:c>
      <x:c r="M63" s="15" t="str"/>
    </x:row>
    <x:row r="64" ht="15" hidden="0" customHeight="1">
      <x:c r="A64" s="15" t="str">
        <x:v>EXEC-061</x:v>
      </x:c>
      <x:c r="B64" s="15" t="str">
        <x:v>SEC-007</x:v>
      </x:c>
      <x:c r="C64" s="15" t="str"/>
      <x:c r="D64" s="15" t="str"/>
      <x:c r="E64" s="15" t="str">
        <x:v>Manual</x:v>
      </x:c>
      <x:c r="F64" s="15" t="str"/>
      <x:c r="G64" s="15" t="str"/>
      <x:c r="H64" s="15" t="str"/>
      <x:c r="I64" s="15" t="str">
        <x:v>Not Run</x:v>
      </x:c>
      <x:c r="J64" s="15" t="str"/>
      <x:c r="K64" s="15" t="str"/>
      <x:c r="L64" s="15" t="str">
        <x:v>Not Run</x:v>
      </x:c>
      <x:c r="M64" s="15" t="str"/>
    </x:row>
    <x:row r="65" ht="15" hidden="0" customHeight="1">
      <x:c r="A65" s="15" t="str">
        <x:v>EXEC-062</x:v>
      </x:c>
      <x:c r="B65" s="15" t="str">
        <x:v>SEC-008</x:v>
      </x:c>
      <x:c r="C65" s="15" t="str"/>
      <x:c r="D65" s="15" t="str"/>
      <x:c r="E65" s="15" t="str">
        <x:v>Manual</x:v>
      </x:c>
      <x:c r="F65" s="15" t="str"/>
      <x:c r="G65" s="15" t="str"/>
      <x:c r="H65" s="15" t="str"/>
      <x:c r="I65" s="15" t="str">
        <x:v>Not Run</x:v>
      </x:c>
      <x:c r="J65" s="15" t="str"/>
      <x:c r="K65" s="15" t="str"/>
      <x:c r="L65" s="15" t="str">
        <x:v>Not Run</x:v>
      </x:c>
      <x:c r="M65" s="15" t="str"/>
    </x:row>
    <x:row r="66" ht="15" hidden="0" customHeight="1">
      <x:c r="A66" s="15" t="str">
        <x:v>EXEC-063</x:v>
      </x:c>
      <x:c r="B66" s="15" t="str">
        <x:v>SEC-009</x:v>
      </x:c>
      <x:c r="C66" s="15" t="str"/>
      <x:c r="D66" s="15" t="str"/>
      <x:c r="E66" s="15" t="str">
        <x:v>Manual</x:v>
      </x:c>
      <x:c r="F66" s="15" t="str"/>
      <x:c r="G66" s="15" t="str"/>
      <x:c r="H66" s="15" t="str"/>
      <x:c r="I66" s="15" t="str">
        <x:v>Not Run</x:v>
      </x:c>
      <x:c r="J66" s="15" t="str"/>
      <x:c r="K66" s="15" t="str"/>
      <x:c r="L66" s="15" t="str">
        <x:v>Not Run</x:v>
      </x:c>
      <x:c r="M66" s="15" t="str"/>
    </x:row>
    <x:row r="67" ht="15" hidden="0" customHeight="1">
      <x:c r="A67" s="15" t="str">
        <x:v>EXEC-064</x:v>
      </x:c>
      <x:c r="B67" s="15" t="str">
        <x:v>SEC-010</x:v>
      </x:c>
      <x:c r="C67" s="15" t="str"/>
      <x:c r="D67" s="15" t="str"/>
      <x:c r="E67" s="15" t="str">
        <x:v>Manual</x:v>
      </x:c>
      <x:c r="F67" s="15" t="str"/>
      <x:c r="G67" s="15" t="str"/>
      <x:c r="H67" s="15" t="str"/>
      <x:c r="I67" s="15" t="str">
        <x:v>Not Run</x:v>
      </x:c>
      <x:c r="J67" s="15" t="str"/>
      <x:c r="K67" s="15" t="str"/>
      <x:c r="L67" s="15" t="str">
        <x:v>Not Run</x:v>
      </x:c>
      <x:c r="M67" s="15" t="str"/>
    </x:row>
    <x:row r="68" ht="15" hidden="0" customHeight="1">
      <x:c r="A68" s="15" t="str">
        <x:v>EXEC-065</x:v>
      </x:c>
      <x:c r="B68" s="15" t="str">
        <x:v>SEC-011</x:v>
      </x:c>
      <x:c r="C68" s="15" t="str"/>
      <x:c r="D68" s="15" t="str"/>
      <x:c r="E68" s="15" t="str">
        <x:v>Manual</x:v>
      </x:c>
      <x:c r="F68" s="15" t="str"/>
      <x:c r="G68" s="15" t="str"/>
      <x:c r="H68" s="15" t="str"/>
      <x:c r="I68" s="15" t="str">
        <x:v>Not Run</x:v>
      </x:c>
      <x:c r="J68" s="15" t="str"/>
      <x:c r="K68" s="15" t="str"/>
      <x:c r="L68" s="15" t="str">
        <x:v>Not Run</x:v>
      </x:c>
      <x:c r="M68" s="15" t="str"/>
    </x:row>
    <x:row r="69" ht="15" hidden="0" customHeight="1">
      <x:c r="A69" s="15" t="str">
        <x:v>EXEC-066</x:v>
      </x:c>
      <x:c r="B69" s="15" t="str">
        <x:v>SEC-012</x:v>
      </x:c>
      <x:c r="C69" s="15" t="str"/>
      <x:c r="D69" s="15" t="str"/>
      <x:c r="E69" s="15" t="str">
        <x:v>Manual</x:v>
      </x:c>
      <x:c r="F69" s="15" t="str"/>
      <x:c r="G69" s="15" t="str"/>
      <x:c r="H69" s="15" t="str"/>
      <x:c r="I69" s="15" t="str">
        <x:v>Not Run</x:v>
      </x:c>
      <x:c r="J69" s="15" t="str"/>
      <x:c r="K69" s="15" t="str"/>
      <x:c r="L69" s="15" t="str">
        <x:v>Not Run</x:v>
      </x:c>
      <x:c r="M69" s="15" t="str"/>
    </x:row>
    <x:row r="70" ht="15" hidden="0" customHeight="1">
      <x:c r="A70" s="15" t="str">
        <x:v>EXEC-067</x:v>
      </x:c>
      <x:c r="B70" s="15" t="str">
        <x:v>SEC-013</x:v>
      </x:c>
      <x:c r="C70" s="15" t="str"/>
      <x:c r="D70" s="15" t="str"/>
      <x:c r="E70" s="15" t="str">
        <x:v>Manual</x:v>
      </x:c>
      <x:c r="F70" s="15" t="str"/>
      <x:c r="G70" s="15" t="str"/>
      <x:c r="H70" s="15" t="str"/>
      <x:c r="I70" s="15" t="str">
        <x:v>Not Run</x:v>
      </x:c>
      <x:c r="J70" s="15" t="str"/>
      <x:c r="K70" s="15" t="str"/>
      <x:c r="L70" s="15" t="str">
        <x:v>Not Run</x:v>
      </x:c>
      <x:c r="M70" s="15" t="str"/>
    </x:row>
    <x:row r="71" ht="15" hidden="0" customHeight="1">
      <x:c r="A71" s="15" t="str">
        <x:v>EXEC-068</x:v>
      </x:c>
      <x:c r="B71" s="15" t="str">
        <x:v>SEC-014</x:v>
      </x:c>
      <x:c r="C71" s="15" t="str"/>
      <x:c r="D71" s="15" t="str"/>
      <x:c r="E71" s="15" t="str">
        <x:v>Manual</x:v>
      </x:c>
      <x:c r="F71" s="15" t="str"/>
      <x:c r="G71" s="15" t="str"/>
      <x:c r="H71" s="15" t="str"/>
      <x:c r="I71" s="15" t="str">
        <x:v>Not Run</x:v>
      </x:c>
      <x:c r="J71" s="15" t="str"/>
      <x:c r="K71" s="15" t="str"/>
      <x:c r="L71" s="15" t="str">
        <x:v>Not Run</x:v>
      </x:c>
      <x:c r="M71" s="15" t="str"/>
    </x:row>
    <x:row r="72" ht="15" hidden="0" customHeight="1">
      <x:c r="A72" s="15" t="str">
        <x:v>EXEC-069</x:v>
      </x:c>
      <x:c r="B72" s="15" t="str">
        <x:v>SYS-001</x:v>
      </x:c>
      <x:c r="C72" s="15" t="str"/>
      <x:c r="D72" s="15" t="str"/>
      <x:c r="E72" s="15" t="str">
        <x:v>Manual</x:v>
      </x:c>
      <x:c r="F72" s="15" t="str"/>
      <x:c r="G72" s="15" t="str"/>
      <x:c r="H72" s="15" t="str"/>
      <x:c r="I72" s="15" t="str">
        <x:v>Not Run</x:v>
      </x:c>
      <x:c r="J72" s="15" t="str"/>
      <x:c r="K72" s="15" t="str"/>
      <x:c r="L72" s="15" t="str">
        <x:v>Not Run</x:v>
      </x:c>
      <x:c r="M72" s="15" t="str"/>
    </x:row>
    <x:row r="73" ht="15" hidden="0" customHeight="1">
      <x:c r="A73" s="15" t="str">
        <x:v>EXEC-070</x:v>
      </x:c>
      <x:c r="B73" s="15" t="str">
        <x:v>SYS-002</x:v>
      </x:c>
      <x:c r="C73" s="15" t="str"/>
      <x:c r="D73" s="15" t="str"/>
      <x:c r="E73" s="15" t="str">
        <x:v>Manual</x:v>
      </x:c>
      <x:c r="F73" s="15" t="str"/>
      <x:c r="G73" s="15" t="str"/>
      <x:c r="H73" s="15" t="str"/>
      <x:c r="I73" s="15" t="str">
        <x:v>Not Run</x:v>
      </x:c>
      <x:c r="J73" s="15" t="str"/>
      <x:c r="K73" s="15" t="str"/>
      <x:c r="L73" s="15" t="str">
        <x:v>Not Run</x:v>
      </x:c>
      <x:c r="M73" s="15" t="str"/>
    </x:row>
    <x:row r="74" ht="15" hidden="0" customHeight="1">
      <x:c r="A74" s="15" t="str">
        <x:v>EXEC-071</x:v>
      </x:c>
      <x:c r="B74" s="15" t="str">
        <x:v>SYS-003</x:v>
      </x:c>
      <x:c r="C74" s="15" t="str"/>
      <x:c r="D74" s="15" t="str"/>
      <x:c r="E74" s="15" t="str">
        <x:v>Manual</x:v>
      </x:c>
      <x:c r="F74" s="15" t="str"/>
      <x:c r="G74" s="15" t="str"/>
      <x:c r="H74" s="15" t="str"/>
      <x:c r="I74" s="15" t="str">
        <x:v>Not Run</x:v>
      </x:c>
      <x:c r="J74" s="15" t="str"/>
      <x:c r="K74" s="15" t="str"/>
      <x:c r="L74" s="15" t="str">
        <x:v>Not Run</x:v>
      </x:c>
      <x:c r="M74" s="15" t="str"/>
    </x:row>
    <x:row r="75" ht="15" hidden="0" customHeight="1">
      <x:c r="A75" s="15" t="str">
        <x:v>EXEC-072</x:v>
      </x:c>
      <x:c r="B75" s="15" t="str">
        <x:v>SYS-004</x:v>
      </x:c>
      <x:c r="C75" s="15" t="str"/>
      <x:c r="D75" s="15" t="str"/>
      <x:c r="E75" s="15" t="str">
        <x:v>Manual</x:v>
      </x:c>
      <x:c r="F75" s="15" t="str"/>
      <x:c r="G75" s="15" t="str"/>
      <x:c r="H75" s="15" t="str"/>
      <x:c r="I75" s="15" t="str">
        <x:v>Not Run</x:v>
      </x:c>
      <x:c r="J75" s="15" t="str"/>
      <x:c r="K75" s="15" t="str"/>
      <x:c r="L75" s="15" t="str">
        <x:v>Not Run</x:v>
      </x:c>
      <x:c r="M75" s="15" t="str"/>
    </x:row>
    <x:row r="76" ht="15" hidden="0" customHeight="1">
      <x:c r="A76" s="15" t="str">
        <x:v>EXEC-073</x:v>
      </x:c>
      <x:c r="B76" s="15" t="str">
        <x:v>E2E-001</x:v>
      </x:c>
      <x:c r="C76" s="15" t="str"/>
      <x:c r="D76" s="15" t="str"/>
      <x:c r="E76" s="15" t="str">
        <x:v>Manual</x:v>
      </x:c>
      <x:c r="F76" s="15" t="str"/>
      <x:c r="G76" s="15" t="str"/>
      <x:c r="H76" s="15" t="str"/>
      <x:c r="I76" s="15" t="str">
        <x:v>Not Run</x:v>
      </x:c>
      <x:c r="J76" s="15" t="str"/>
      <x:c r="K76" s="15" t="str"/>
      <x:c r="L76" s="15" t="str">
        <x:v>Not Run</x:v>
      </x:c>
      <x:c r="M76" s="15" t="str"/>
    </x:row>
    <x:row r="77" ht="15" hidden="0" customHeight="1">
      <x:c r="A77" s="16" t="str">
        <x:v>EXEC-074</x:v>
      </x:c>
      <x:c r="B77" s="16" t="str">
        <x:v>E2E-002</x:v>
      </x:c>
      <x:c r="C77" s="16" t="str"/>
      <x:c r="D77" s="16" t="str"/>
      <x:c r="E77" s="16" t="str">
        <x:v>Manual</x:v>
      </x:c>
      <x:c r="F77" s="16" t="str"/>
      <x:c r="G77" s="16" t="str"/>
      <x:c r="H77" s="16" t="str"/>
      <x:c r="I77" s="16" t="str">
        <x:v>Not Run</x:v>
      </x:c>
      <x:c r="J77" s="16" t="str"/>
      <x:c r="K77" s="16" t="str"/>
      <x:c r="L77" s="16" t="str">
        <x:v>Not Run</x:v>
      </x:c>
      <x:c r="M77" s="16" t="str"/>
    </x:row>
  </x:sheetData>
  <x:mergeCells>
    <x:mergeCell ref="A1:M1"/>
  </x:mergeCells>
  <x:dataValidations count="3">
    <x:dataValidation type="list" sqref="E4:E77">
      <x:formula1>"Manual,Automated UI,Automated API,E2E"</x:formula1>
    </x:dataValidation>
    <x:dataValidation type="list" sqref="I4:I77">
      <x:formula1>"Not Run,Pass,Fail,Blocked,Not Applicable"</x:formula1>
    </x:dataValidation>
    <x:dataValidation type="list" sqref="L4:L77">
      <x:formula1>"Not Run,Pass,Fail,Not Required"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7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6" hidden="0" customWidth="1"/>
    <x:col min="9" max="9" width="24" hidden="0" customWidth="1"/>
    <x:col min="10" max="10" width="58" hidden="0" customWidth="1"/>
    <x:col min="11" max="11" width="44" hidden="0" customWidth="1"/>
    <x:col min="12" max="12" width="44" hidden="0" customWidth="1"/>
    <x:col min="13" max="13" width="18" hidden="0" customWidth="1"/>
    <x:col min="14" max="14" width="16" hidden="0" customWidth="1"/>
  </x:cols>
  <x:sheetData>
    <x:row r="1" ht="21.600000381469727" hidden="0" customHeight="1">
      <x:c r="A1" s="3" t="str">
        <x:v>Procurement Defect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/>
    <x:row r="3" ht="15" hidden="0" customHeight="1">
      <x:c r="A3" s="31" t="str">
        <x:v>Defect ID</x:v>
      </x:c>
      <x:c r="B3" s="32" t="str">
        <x:v>Title</x:v>
      </x:c>
      <x:c r="C3" s="32" t="str">
        <x:v>Related Test ID</x:v>
      </x:c>
      <x:c r="D3" s="32" t="str">
        <x:v>Requirement ID</x:v>
      </x:c>
      <x:c r="E3" s="32" t="str">
        <x:v>Feature</x:v>
      </x:c>
      <x:c r="F3" s="32" t="str">
        <x:v>Severity</x:v>
      </x:c>
      <x:c r="G3" s="32" t="str">
        <x:v>Priority</x:v>
      </x:c>
      <x:c r="H3" s="32" t="str">
        <x:v>Status</x:v>
      </x:c>
      <x:c r="I3" s="32" t="str">
        <x:v>Build/Environment</x:v>
      </x:c>
      <x:c r="J3" s="32" t="str">
        <x:v>Steps to reproduce</x:v>
      </x:c>
      <x:c r="K3" s="32" t="str">
        <x:v>Expected</x:v>
      </x:c>
      <x:c r="L3" s="32" t="str">
        <x:v>Actual</x:v>
      </x:c>
      <x:c r="M3" s="32" t="str">
        <x:v>Owner</x:v>
      </x:c>
      <x:c r="N3" s="33" t="str">
        <x:v>Retest result</x:v>
      </x:c>
    </x:row>
    <x:row r="4" ht="15" hidden="0" customHeight="1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</x:row>
    <x:row r="5" ht="15" hidden="0" customHeight="1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  <x:c r="K5" s="15" t="str"/>
      <x:c r="L5" s="15" t="str"/>
      <x:c r="M5" s="15" t="str"/>
      <x:c r="N5" s="15" t="str"/>
    </x:row>
    <x:row r="6" ht="15" hidden="0" customHeight="1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/>
    </x:row>
    <x:row r="7" ht="15" hidden="0" customHeight="1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  <x:c r="L7" s="15" t="str"/>
      <x:c r="M7" s="15" t="str"/>
      <x:c r="N7" s="15" t="str"/>
    </x:row>
    <x:row r="8" ht="15" hidden="0" customHeight="1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  <x:c r="L8" s="15" t="str"/>
      <x:c r="M8" s="15" t="str"/>
      <x:c r="N8" s="15" t="str"/>
    </x:row>
    <x:row r="9" ht="15" hidden="0" customHeight="1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/>
      <x:c r="M9" s="15" t="str"/>
      <x:c r="N9" s="15" t="str"/>
    </x:row>
    <x:row r="10" ht="15" hidden="0" customHeight="1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</x:row>
    <x:row r="11" ht="15" hidden="0" customHeight="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</x:row>
    <x:row r="12" ht="15" hidden="0" customHeight="1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</x:row>
    <x:row r="13" ht="15" hidden="0" customHeight="1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</x:row>
    <x:row r="14" ht="15" hidden="0" customHeight="1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</x:row>
    <x:row r="15" ht="15" hidden="0" customHeight="1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</x:row>
    <x:row r="16" ht="15" hidden="0" customHeight="1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</x:row>
    <x:row r="17" ht="15" hidden="0" customHeight="1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</x:row>
    <x:row r="18" ht="15" hidden="0" customHeight="1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</x:row>
    <x:row r="19" ht="15" hidden="0" customHeight="1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</x:row>
    <x:row r="20" ht="15" hidden="0" customHeight="1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</x:row>
    <x:row r="21" ht="15" hidden="0" customHeight="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</x:row>
    <x:row r="22" ht="15" hidden="0" customHeight="1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  <x:c r="M22" s="15" t="str"/>
      <x:c r="N22" s="15" t="str"/>
    </x:row>
    <x:row r="23" ht="15" hidden="0" customHeight="1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</x:row>
    <x:row r="24" ht="15" hidden="0" customHeight="1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  <x:c r="M24" s="15" t="str"/>
      <x:c r="N24" s="15" t="str"/>
    </x:row>
    <x:row r="25" ht="15" hidden="0" customHeight="1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  <x:c r="L25" s="15" t="str"/>
      <x:c r="M25" s="15" t="str"/>
      <x:c r="N25" s="15" t="str"/>
    </x:row>
    <x:row r="26" ht="15" hidden="0" customHeight="1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  <x:c r="L26" s="15" t="str"/>
      <x:c r="M26" s="15" t="str"/>
      <x:c r="N26" s="15" t="str"/>
    </x:row>
    <x:row r="27" ht="15" hidden="0" customHeight="1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  <x:c r="L27" s="15" t="str"/>
      <x:c r="M27" s="15" t="str"/>
      <x:c r="N27" s="15" t="str"/>
    </x:row>
    <x:row r="28" ht="15" hidden="0" customHeight="1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  <x:c r="L28" s="15" t="str"/>
      <x:c r="M28" s="15" t="str"/>
      <x:c r="N28" s="15" t="str"/>
    </x:row>
    <x:row r="29" ht="15" hidden="0" customHeight="1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  <x:c r="L29" s="15" t="str"/>
      <x:c r="M29" s="15" t="str"/>
      <x:c r="N29" s="15" t="str"/>
    </x:row>
    <x:row r="30" ht="15" hidden="0" customHeight="1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  <x:c r="L30" s="15" t="str"/>
      <x:c r="M30" s="15" t="str"/>
      <x:c r="N30" s="15" t="str"/>
    </x:row>
    <x:row r="31" ht="15" hidden="0" customHeight="1">
      <x:c r="A31" s="15" t="str"/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  <x:c r="L31" s="15" t="str"/>
      <x:c r="M31" s="15" t="str"/>
      <x:c r="N31" s="15" t="str"/>
    </x:row>
    <x:row r="32" ht="15" hidden="0" customHeight="1">
      <x:c r="A32" s="15" t="str"/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  <x:c r="L32" s="15" t="str"/>
      <x:c r="M32" s="15" t="str"/>
      <x:c r="N32" s="15" t="str"/>
    </x:row>
    <x:row r="33" ht="15" hidden="0" customHeight="1">
      <x:c r="A33" s="15" t="str"/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  <x:c r="L33" s="15" t="str"/>
      <x:c r="M33" s="15" t="str"/>
      <x:c r="N33" s="15" t="str"/>
    </x:row>
    <x:row r="34" ht="15" hidden="0" customHeight="1">
      <x:c r="A34" s="15" t="str"/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  <x:c r="L34" s="15" t="str"/>
      <x:c r="M34" s="15" t="str"/>
      <x:c r="N34" s="15" t="str"/>
    </x:row>
    <x:row r="35" ht="15" hidden="0" customHeight="1">
      <x:c r="A35" s="15" t="str"/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  <x:c r="L35" s="15" t="str"/>
      <x:c r="M35" s="15" t="str"/>
      <x:c r="N35" s="15" t="str"/>
    </x:row>
    <x:row r="36" ht="15" hidden="0" customHeight="1">
      <x:c r="A36" s="15" t="str"/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  <x:c r="L36" s="15" t="str"/>
      <x:c r="M36" s="15" t="str"/>
      <x:c r="N36" s="15" t="str"/>
    </x:row>
    <x:row r="37" ht="15" hidden="0" customHeight="1">
      <x:c r="A37" s="15" t="str"/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  <x:c r="L37" s="15" t="str"/>
      <x:c r="M37" s="15" t="str"/>
      <x:c r="N37" s="15" t="str"/>
    </x:row>
    <x:row r="38" ht="15" hidden="0" customHeight="1">
      <x:c r="A38" s="15" t="str"/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  <x:c r="L38" s="15" t="str"/>
      <x:c r="M38" s="15" t="str"/>
      <x:c r="N38" s="15" t="str"/>
    </x:row>
    <x:row r="39" ht="15" hidden="0" customHeight="1">
      <x:c r="A39" s="15" t="str"/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  <x:c r="L39" s="15" t="str"/>
      <x:c r="M39" s="15" t="str"/>
      <x:c r="N39" s="15" t="str"/>
    </x:row>
    <x:row r="40" ht="15" hidden="0" customHeight="1">
      <x:c r="A40" s="15" t="str"/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  <x:c r="L40" s="15" t="str"/>
      <x:c r="M40" s="15" t="str"/>
      <x:c r="N40" s="15" t="str"/>
    </x:row>
    <x:row r="41" ht="15" hidden="0" customHeight="1">
      <x:c r="A41" s="15" t="str"/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  <x:c r="L41" s="15" t="str"/>
      <x:c r="M41" s="15" t="str"/>
      <x:c r="N41" s="15" t="str"/>
    </x:row>
    <x:row r="42" ht="15" hidden="0" customHeight="1">
      <x:c r="A42" s="15" t="str"/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  <x:c r="L42" s="15" t="str"/>
      <x:c r="M42" s="15" t="str"/>
      <x:c r="N42" s="15" t="str"/>
    </x:row>
    <x:row r="43" ht="15" hidden="0" customHeight="1">
      <x:c r="A43" s="15" t="str"/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  <x:c r="L43" s="15" t="str"/>
      <x:c r="M43" s="15" t="str"/>
      <x:c r="N43" s="15" t="str"/>
    </x:row>
    <x:row r="44" ht="15" hidden="0" customHeight="1">
      <x:c r="A44" s="15" t="str"/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  <x:c r="L44" s="15" t="str"/>
      <x:c r="M44" s="15" t="str"/>
      <x:c r="N44" s="15" t="str"/>
    </x:row>
    <x:row r="45" ht="15" hidden="0" customHeight="1">
      <x:c r="A45" s="15" t="str"/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  <x:c r="L45" s="15" t="str"/>
      <x:c r="M45" s="15" t="str"/>
      <x:c r="N45" s="15" t="str"/>
    </x:row>
    <x:row r="46" ht="15" hidden="0" customHeight="1">
      <x:c r="A46" s="15" t="str"/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  <x:c r="L46" s="15" t="str"/>
      <x:c r="M46" s="15" t="str"/>
      <x:c r="N46" s="15" t="str"/>
    </x:row>
    <x:row r="47" ht="15" hidden="0" customHeight="1">
      <x:c r="A47" s="15" t="str"/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  <x:c r="L47" s="15" t="str"/>
      <x:c r="M47" s="15" t="str"/>
      <x:c r="N47" s="15" t="str"/>
    </x:row>
    <x:row r="48" ht="15" hidden="0" customHeight="1">
      <x:c r="A48" s="15" t="str"/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  <x:c r="L48" s="15" t="str"/>
      <x:c r="M48" s="15" t="str"/>
      <x:c r="N48" s="15" t="str"/>
    </x:row>
    <x:row r="49" ht="15" hidden="0" customHeight="1">
      <x:c r="A49" s="15" t="str"/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  <x:c r="L49" s="15" t="str"/>
      <x:c r="M49" s="15" t="str"/>
      <x:c r="N49" s="15" t="str"/>
    </x:row>
    <x:row r="50" ht="15" hidden="0" customHeight="1">
      <x:c r="A50" s="15" t="str"/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  <x:c r="L50" s="15" t="str"/>
      <x:c r="M50" s="15" t="str"/>
      <x:c r="N50" s="15" t="str"/>
    </x:row>
    <x:row r="51" ht="15" hidden="0" customHeight="1">
      <x:c r="A51" s="15" t="str"/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  <x:c r="L51" s="15" t="str"/>
      <x:c r="M51" s="15" t="str"/>
      <x:c r="N51" s="15" t="str"/>
    </x:row>
    <x:row r="52" ht="15" hidden="0" customHeight="1">
      <x:c r="A52" s="15" t="str"/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  <x:c r="L52" s="15" t="str"/>
      <x:c r="M52" s="15" t="str"/>
      <x:c r="N52" s="15" t="str"/>
    </x:row>
    <x:row r="53" ht="15" hidden="0" customHeight="1">
      <x:c r="A53" s="16" t="str"/>
      <x:c r="B53" s="16" t="str"/>
      <x:c r="C53" s="16" t="str"/>
      <x:c r="D53" s="16" t="str"/>
      <x:c r="E53" s="16" t="str"/>
      <x:c r="F53" s="16" t="str"/>
      <x:c r="G53" s="16" t="str"/>
      <x:c r="H53" s="16" t="str"/>
      <x:c r="I53" s="16" t="str"/>
      <x:c r="J53" s="16" t="str"/>
      <x:c r="K53" s="16" t="str"/>
      <x:c r="L53" s="16" t="str"/>
      <x:c r="M53" s="16" t="str"/>
      <x:c r="N53" s="16" t="str"/>
    </x:row>
  </x:sheetData>
  <x:mergeCells>
    <x:mergeCell ref="A1:N1"/>
  </x:mergeCells>
  <x:dataValidations count="4">
    <x:dataValidation type="list" sqref="F4:F53">
      <x:formula1>"Critical,High,Medium,Low"</x:formula1>
    </x:dataValidation>
    <x:dataValidation type="list" sqref="G4:G53">
      <x:formula1>"P0,P1,P2,P3"</x:formula1>
    </x:dataValidation>
    <x:dataValidation type="list" sqref="H4:H53">
      <x:formula1>"New,Triaged,In Progress,Ready for Retest,Closed,Deferred,Rejected"</x:formula1>
    </x:dataValidation>
    <x:dataValidation type="list" sqref="N4:N53">
      <x:formula1>"Not Run,Pass,Fail,Not Required"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8" hidden="0" customWidth="1"/>
    <x:col min="5" max="5" width="17" hidden="0" customWidth="1"/>
    <x:col min="6" max="6" width="12" hidden="0" customWidth="1"/>
    <x:col min="7" max="7" width="38" hidden="0" customWidth="1"/>
    <x:col min="8" max="8" width="58" hidden="0" customWidth="1"/>
    <x:col min="9" max="9" width="58" hidden="0" customWidth="1"/>
    <x:col min="10" max="10" width="18" hidden="0" customWidth="1"/>
    <x:col min="11" max="11" width="18" hidden="0" customWidth="1"/>
  </x:cols>
  <x:sheetData>
    <x:row r="1" ht="32" customHeight="1">
      <x:c r="A1" s="3" t="str">
        <x:v>Phase 1 Functional Security Test Specification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30" customHeight="1">
      <x:c r="A3" s="31" t="str">
        <x:v>Test Case ID</x:v>
      </x:c>
      <x:c r="B3" s="32" t="str">
        <x:v>Requirement ID</x:v>
      </x:c>
      <x:c r="C3" s="32" t="str">
        <x:v>Feature</x:v>
      </x:c>
      <x:c r="D3" s="32" t="str">
        <x:v>Title</x:v>
      </x:c>
      <x:c r="E3" s="32" t="str">
        <x:v>Type</x:v>
      </x:c>
      <x:c r="F3" s="32" t="str">
        <x:v>Priority</x:v>
      </x:c>
      <x:c r="G3" s="32" t="str">
        <x:v>Preconditions</x:v>
      </x:c>
      <x:c r="H3" s="32" t="str">
        <x:v>Test steps</x:v>
      </x:c>
      <x:c r="I3" s="32" t="str">
        <x:v>Expected result</x:v>
      </x:c>
      <x:c r="J3" s="32" t="str">
        <x:v>Target layer</x:v>
      </x:c>
      <x:c r="K3" s="33" t="str">
        <x:v>Execution status</x:v>
      </x:c>
    </x:row>
    <x:row r="4">
      <x:c r="A4" s="14" t="str">
        <x:v>SEC-001</x:v>
      </x:c>
      <x:c r="B4" s="14" t="str">
        <x:v>SEC-REQ-001</x:v>
      </x:c>
      <x:c r="C4" s="14" t="str">
        <x:v>Security</x:v>
      </x:c>
      <x:c r="D4" s="14" t="str">
        <x:v>Reject missing, expired or invalid authentication token</x:v>
      </x:c>
      <x:c r="E4" s="14" t="str">
        <x:v>Authentication</x:v>
      </x:c>
      <x:c r="F4" s="14" t="str">
        <x:v>Critical</x:v>
      </x:c>
      <x:c r="G4" s="14" t="str">
        <x:v>Protected endpoint available</x:v>
      </x:c>
      <x:c r="H4" s="14" t="str">
        <x:v>Call endpoint without token, with invalid token and with expired token</x:v>
      </x:c>
      <x:c r="I4" s="14" t="str">
        <x:v>Every request is denied consistently without protected data disclosure</x:v>
      </x:c>
      <x:c r="J4" s="14" t="str">
        <x:v>API</x:v>
      </x:c>
      <x:c r="K4" s="14" t="str">
        <x:v>Not Run</x:v>
      </x:c>
    </x:row>
    <x:row r="5">
      <x:c r="A5" s="15" t="str">
        <x:v>SEC-002</x:v>
      </x:c>
      <x:c r="B5" s="15" t="str">
        <x:v>SEC-REQ-001</x:v>
      </x:c>
      <x:c r="C5" s="15" t="str">
        <x:v>Security</x:v>
      </x:c>
      <x:c r="D5" s="15" t="str">
        <x:v>Invalidate session after logout</x:v>
      </x:c>
      <x:c r="E5" s="15" t="str">
        <x:v>Session</x:v>
      </x:c>
      <x:c r="F5" s="15" t="str">
        <x:v>High</x:v>
      </x:c>
      <x:c r="G5" s="15" t="str">
        <x:v>Authenticated user session exists</x:v>
      </x:c>
      <x:c r="H5" s="15" t="str">
        <x:v>Logout then reuse previous session/token where applicable</x:v>
      </x:c>
      <x:c r="I5" s="15" t="str">
        <x:v>Session is no longer accepted according to the configured token model</x:v>
      </x:c>
      <x:c r="J5" s="15" t="str">
        <x:v>UI/API</x:v>
      </x:c>
      <x:c r="K5" s="15" t="str">
        <x:v>Not Run</x:v>
      </x:c>
    </x:row>
    <x:row r="6">
      <x:c r="A6" s="15" t="str">
        <x:v>SEC-003</x:v>
      </x:c>
      <x:c r="B6" s="15" t="str">
        <x:v>SEC-REQ-002</x:v>
      </x:c>
      <x:c r="C6" s="15" t="str">
        <x:v>Security</x:v>
      </x:c>
      <x:c r="D6" s="15" t="str">
        <x:v>Prevent horizontal object-level access</x:v>
      </x:c>
      <x:c r="E6" s="15" t="str">
        <x:v>Authorisation</x:v>
      </x:c>
      <x:c r="F6" s="15" t="str">
        <x:v>Critical</x:v>
      </x:c>
      <x:c r="G6" s="15" t="str">
        <x:v>Two users have different procurement records</x:v>
      </x:c>
      <x:c r="H6" s="15" t="str">
        <x:v>Change document identifier to another user's restricted object</x:v>
      </x:c>
      <x:c r="I6" s="15" t="str">
        <x:v>Access is denied without revealing restricted object content</x:v>
      </x:c>
      <x:c r="J6" s="15" t="str">
        <x:v>API</x:v>
      </x:c>
      <x:c r="K6" s="15" t="str">
        <x:v>Not Run</x:v>
      </x:c>
    </x:row>
    <x:row r="7">
      <x:c r="A7" s="15" t="str">
        <x:v>SEC-004</x:v>
      </x:c>
      <x:c r="B7" s="15" t="str">
        <x:v>SEC-REQ-002</x:v>
      </x:c>
      <x:c r="C7" s="15" t="str">
        <x:v>Security</x:v>
      </x:c>
      <x:c r="D7" s="15" t="str">
        <x:v>Prevent privilege escalation through direct API calls</x:v>
      </x:c>
      <x:c r="E7" s="15" t="str">
        <x:v>Authorisation</x:v>
      </x:c>
      <x:c r="F7" s="15" t="str">
        <x:v>Critical</x:v>
      </x:c>
      <x:c r="G7" s="15" t="str">
        <x:v>Requester/non-approver authenticated</x:v>
      </x:c>
      <x:c r="H7" s="15" t="str">
        <x:v>Call approve, cancel or status endpoints reserved for another role</x:v>
      </x:c>
      <x:c r="I7" s="15" t="str">
        <x:v>Action is denied; document and audit state remain correct</x:v>
      </x:c>
      <x:c r="J7" s="15" t="str">
        <x:v>API/DB</x:v>
      </x:c>
      <x:c r="K7" s="15" t="str">
        <x:v>Not Run</x:v>
      </x:c>
    </x:row>
    <x:row r="8">
      <x:c r="A8" s="15" t="str">
        <x:v>SEC-005</x:v>
      </x:c>
      <x:c r="B8" s="15" t="str">
        <x:v>SEC-REQ-003</x:v>
      </x:c>
      <x:c r="C8" s="15" t="str">
        <x:v>Security</x:v>
      </x:c>
      <x:c r="D8" s="15" t="str">
        <x:v>Reject SQL-injection-style input safely</x:v>
      </x:c>
      <x:c r="E8" s="15" t="str">
        <x:v>Input security</x:v>
      </x:c>
      <x:c r="F8" s="15" t="str">
        <x:v>Critical</x:v>
      </x:c>
      <x:c r="G8" s="15" t="str">
        <x:v>Synthetic malicious strings prepared</x:v>
      </x:c>
      <x:c r="H8" s="15" t="str">
        <x:v>Submit payloads containing SQL metacharacters in supported text/search fields</x:v>
      </x:c>
      <x:c r="I8" s="15" t="str">
        <x:v>Input is safely handled; no query manipulation, data leakage or server error occurs</x:v>
      </x:c>
      <x:c r="J8" s="15" t="str">
        <x:v>UI/API/DB</x:v>
      </x:c>
      <x:c r="K8" s="15" t="str">
        <x:v>Not Run</x:v>
      </x:c>
    </x:row>
    <x:row r="9">
      <x:c r="A9" s="15" t="str">
        <x:v>SEC-006</x:v>
      </x:c>
      <x:c r="B9" s="15" t="str">
        <x:v>SEC-REQ-003</x:v>
      </x:c>
      <x:c r="C9" s="15" t="str">
        <x:v>Security</x:v>
      </x:c>
      <x:c r="D9" s="15" t="str">
        <x:v>Prevent stored and reflected script execution</x:v>
      </x:c>
      <x:c r="E9" s="15" t="str">
        <x:v>Input security</x:v>
      </x:c>
      <x:c r="F9" s="15" t="str">
        <x:v>Critical</x:v>
      </x:c>
      <x:c r="G9" s="15" t="str">
        <x:v>Synthetic script payload prepared</x:v>
      </x:c>
      <x:c r="H9" s="15" t="str">
        <x:v>Submit payload in supplier/request text fields and render it in list/details</x:v>
      </x:c>
      <x:c r="I9" s="15" t="str">
        <x:v>Payload is encoded/sanitised; no script executes</x:v>
      </x:c>
      <x:c r="J9" s="15" t="str">
        <x:v>UI/API</x:v>
      </x:c>
      <x:c r="K9" s="15" t="str">
        <x:v>Not Run</x:v>
      </x:c>
    </x:row>
    <x:row r="10">
      <x:c r="A10" s="15" t="str">
        <x:v>SEC-007</x:v>
      </x:c>
      <x:c r="B10" s="15" t="str">
        <x:v>SEC-REQ-004</x:v>
      </x:c>
      <x:c r="C10" s="15" t="str">
        <x:v>Security</x:v>
      </x:c>
      <x:c r="D10" s="15" t="str">
        <x:v>Verify cross-origin request policy</x:v>
      </x:c>
      <x:c r="E10" s="15" t="str">
        <x:v>CORS/CSRF</x:v>
      </x:c>
      <x:c r="F10" s="15" t="str">
        <x:v>High</x:v>
      </x:c>
      <x:c r="G10" s="15" t="str">
        <x:v>Approved and unapproved origins identified</x:v>
      </x:c>
      <x:c r="H10" s="15" t="str">
        <x:v>Send preflight and state-changing requests from disallowed origin</x:v>
      </x:c>
      <x:c r="I10" s="15" t="str">
        <x:v>Disallowed origin is rejected; allowed origin remains functional</x:v>
      </x:c>
      <x:c r="J10" s="15" t="str">
        <x:v>API</x:v>
      </x:c>
      <x:c r="K10" s="15" t="str">
        <x:v>Not Run</x:v>
      </x:c>
    </x:row>
    <x:row r="11">
      <x:c r="A11" s="15" t="str">
        <x:v>SEC-008</x:v>
      </x:c>
      <x:c r="B11" s="15" t="str">
        <x:v>SEC-REQ-004</x:v>
      </x:c>
      <x:c r="C11" s="15" t="str">
        <x:v>Security</x:v>
      </x:c>
      <x:c r="D11" s="15" t="str">
        <x:v>Verify CSRF protection for cookie-based state changes</x:v>
      </x:c>
      <x:c r="E11" s="15" t="str">
        <x:v>CORS/CSRF</x:v>
      </x:c>
      <x:c r="F11" s="15" t="str">
        <x:v>High</x:v>
      </x:c>
      <x:c r="G11" s="15" t="str">
        <x:v>Authentication model confirmed</x:v>
      </x:c>
      <x:c r="H11" s="15" t="str">
        <x:v>Attempt forged cross-site state-changing request</x:v>
      </x:c>
      <x:c r="I11" s="15" t="str">
        <x:v>Request is rejected or rendered non-exploitable by the chosen authentication design</x:v>
      </x:c>
      <x:c r="J11" s="15" t="str">
        <x:v>API</x:v>
      </x:c>
      <x:c r="K11" s="15" t="str">
        <x:v>Not Run</x:v>
      </x:c>
    </x:row>
    <x:row r="12">
      <x:c r="A12" s="15" t="str">
        <x:v>SEC-009</x:v>
      </x:c>
      <x:c r="B12" s="15" t="str">
        <x:v>SEC-REQ-005</x:v>
      </x:c>
      <x:c r="C12" s="15" t="str">
        <x:v>Security</x:v>
      </x:c>
      <x:c r="D12" s="15" t="str">
        <x:v>Prevent secrets and sensitive data in errors and logs</x:v>
      </x:c>
      <x:c r="E12" s="15" t="str">
        <x:v>Data protection</x:v>
      </x:c>
      <x:c r="F12" s="15" t="str">
        <x:v>Critical</x:v>
      </x:c>
      <x:c r="G12" s="15" t="str">
        <x:v>Safe access to test logs available</x:v>
      </x:c>
      <x:c r="H12" s="15" t="str">
        <x:v>Trigger validation and server errors; inspect response and permitted logs</x:v>
      </x:c>
      <x:c r="I12" s="15" t="str">
        <x:v>No password, token, cookie, secret, stack trace or unnecessary personal data appears</x:v>
      </x:c>
      <x:c r="J12" s="15" t="str">
        <x:v>API/Logs</x:v>
      </x:c>
      <x:c r="K12" s="15" t="str">
        <x:v>Not Run</x:v>
      </x:c>
    </x:row>
    <x:row r="13">
      <x:c r="A13" s="15" t="str">
        <x:v>SEC-010</x:v>
      </x:c>
      <x:c r="B13" s="15" t="str">
        <x:v>SEC-REQ-006</x:v>
      </x:c>
      <x:c r="C13" s="15" t="str">
        <x:v>Security</x:v>
      </x:c>
      <x:c r="D13" s="15" t="str">
        <x:v>Enforce rate limiting on authentication and sensitive actions</x:v>
      </x:c>
      <x:c r="E13" s="15" t="str">
        <x:v>Abuse protection</x:v>
      </x:c>
      <x:c r="F13" s="15" t="str">
        <x:v>High</x:v>
      </x:c>
      <x:c r="G13" s="15" t="str">
        <x:v>Rate-limit policy configured</x:v>
      </x:c>
      <x:c r="H13" s="15" t="str">
        <x:v>Send repeated login/approval/create requests above threshold</x:v>
      </x:c>
      <x:c r="I13" s="15" t="str">
        <x:v>Requests are throttled safely without corrupting transactions</x:v>
      </x:c>
      <x:c r="J13" s="15" t="str">
        <x:v>API</x:v>
      </x:c>
      <x:c r="K13" s="15" t="str">
        <x:v>Not Run</x:v>
      </x:c>
    </x:row>
    <x:row r="14">
      <x:c r="A14" s="15" t="str">
        <x:v>SEC-011</x:v>
      </x:c>
      <x:c r="B14" s="15" t="str">
        <x:v>SEC-REQ-007</x:v>
      </x:c>
      <x:c r="C14" s="15" t="str">
        <x:v>Security</x:v>
      </x:c>
      <x:c r="D14" s="15" t="str">
        <x:v>Protect approval and status audit history from ordinary modification</x:v>
      </x:c>
      <x:c r="E14" s="15" t="str">
        <x:v>Audit integrity</x:v>
      </x:c>
      <x:c r="F14" s="15" t="str">
        <x:v>Critical</x:v>
      </x:c>
      <x:c r="G14" s="15" t="str">
        <x:v>Approval/status history exists</x:v>
      </x:c>
      <x:c r="H14" s="15" t="str">
        <x:v>Attempt update/delete through UI and non-authorised API paths</x:v>
      </x:c>
      <x:c r="I14" s="15" t="str">
        <x:v>Audit events cannot be altered by ordinary users; attempt is rejected/logged</x:v>
      </x:c>
      <x:c r="J14" s="15" t="str">
        <x:v>UI/API/DB</x:v>
      </x:c>
      <x:c r="K14" s="15" t="str">
        <x:v>Not Run</x:v>
      </x:c>
    </x:row>
    <x:row r="15">
      <x:c r="A15" s="15" t="str">
        <x:v>SEC-012</x:v>
      </x:c>
      <x:c r="B15" s="15" t="str">
        <x:v>SEC-REQ-008</x:v>
      </x:c>
      <x:c r="C15" s="15" t="str">
        <x:v>Security</x:v>
      </x:c>
      <x:c r="D15" s="15" t="str">
        <x:v>Prevent mass assignment of protected fields</x:v>
      </x:c>
      <x:c r="E15" s="15" t="str">
        <x:v>API security</x:v>
      </x:c>
      <x:c r="F15" s="15" t="str">
        <x:v>Critical</x:v>
      </x:c>
      <x:c r="G15" s="15" t="str">
        <x:v>Create/update payload available</x:v>
      </x:c>
      <x:c r="H15" s="15" t="str">
        <x:v>Add fields such as status, approver, created_by or privileged role to payload</x:v>
      </x:c>
      <x:c r="I15" s="15" t="str">
        <x:v>Protected fields are ignored or rejected; server-controlled values remain correct</x:v>
      </x:c>
      <x:c r="J15" s="15" t="str">
        <x:v>API/DB</x:v>
      </x:c>
      <x:c r="K15" s="15" t="str">
        <x:v>Not Run</x:v>
      </x:c>
    </x:row>
    <x:row r="16">
      <x:c r="A16" s="15" t="str">
        <x:v>SEC-013</x:v>
      </x:c>
      <x:c r="B16" s="15" t="str">
        <x:v>SEC-REQ-009</x:v>
      </x:c>
      <x:c r="C16" s="15" t="str">
        <x:v>Security</x:v>
      </x:c>
      <x:c r="D16" s="15" t="str">
        <x:v>Verify essential browser and transport security headers</x:v>
      </x:c>
      <x:c r="E16" s="15" t="str">
        <x:v>Configuration</x:v>
      </x:c>
      <x:c r="F16" s="15" t="str">
        <x:v>High</x:v>
      </x:c>
      <x:c r="G16" s="15" t="str">
        <x:v>Test environment served through deployment configuration</x:v>
      </x:c>
      <x:c r="H16" s="15" t="str">
        <x:v>Inspect HTTPS and response headers</x:v>
      </x:c>
      <x:c r="I16" s="15" t="str">
        <x:v>Configured HTTPS and applicable security headers meet the approved baseline</x:v>
      </x:c>
      <x:c r="J16" s="15" t="str">
        <x:v>API/Browser</x:v>
      </x:c>
      <x:c r="K16" s="15" t="str">
        <x:v>Not Run</x:v>
      </x:c>
    </x:row>
    <x:row r="17">
      <x:c r="A17" s="16" t="str">
        <x:v>SEC-014</x:v>
      </x:c>
      <x:c r="B17" s="16" t="str">
        <x:v>SEC-REQ-010</x:v>
      </x:c>
      <x:c r="C17" s="16" t="str">
        <x:v>Security</x:v>
      </x:c>
      <x:c r="D17" s="16" t="str">
        <x:v>Scan dependencies and repository for critical vulnerabilities and secrets</x:v>
      </x:c>
      <x:c r="E17" s="16" t="str">
        <x:v>Supply chain</x:v>
      </x:c>
      <x:c r="F17" s="16" t="str">
        <x:v>High</x:v>
      </x:c>
      <x:c r="G17" s="16" t="str">
        <x:v>Approved scanners configured</x:v>
      </x:c>
      <x:c r="H17" s="16" t="str">
        <x:v>Run dependency and secret scanning against the release candidate</x:v>
      </x:c>
      <x:c r="I17" s="16" t="str">
        <x:v>No unresolved critical finding or committed secret remains</x:v>
      </x:c>
      <x:c r="J17" s="16" t="str">
        <x:v>CI/CD</x:v>
      </x:c>
      <x:c r="K17" s="16" t="str">
        <x:v>Not Run</x:v>
      </x:c>
    </x:row>
  </x:sheetData>
  <x:mergeCells>
    <x:mergeCell ref="A1:K1"/>
  </x:mergeCells>
  <x:dataValidations count="1">
    <x:dataValidation type="list" sqref="K4:K17">
      <x:formula1>"Not Run,Pass,Fail,Blocked,Not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18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48" hidden="0" customWidth="1"/>
    <x:col min="9" max="9" width="32" hidden="0" customWidth="1"/>
    <x:col min="10" max="10" width="38" hidden="0" customWidth="1"/>
    <x:col min="11" max="11" width="18" hidden="0" customWidth="1"/>
    <x:col min="12" max="12" width="14" hidden="0" customWidth="1"/>
    <x:col min="13" max="13" width="14" hidden="0" customWidth="1"/>
  </x:cols>
  <x:sheetData>
    <x:row r="1" ht="32" customHeight="1">
      <x:c r="A1" s="3" t="str">
        <x:v>Phase 1 Procurement Quality and Security Risk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ht="30" customHeight="1">
      <x:c r="A3" s="31" t="str">
        <x:v>Risk ID</x:v>
      </x:c>
      <x:c r="B3" s="32" t="str">
        <x:v>Risk statement</x:v>
      </x:c>
      <x:c r="C3" s="32" t="str">
        <x:v>Category</x:v>
      </x:c>
      <x:c r="D3" s="32" t="str">
        <x:v>Likelihood (1-5)</x:v>
      </x:c>
      <x:c r="E3" s="32" t="str">
        <x:v>Impact (1-5)</x:v>
      </x:c>
      <x:c r="F3" s="32" t="str">
        <x:v>Inherent score</x:v>
      </x:c>
      <x:c r="G3" s="32" t="str">
        <x:v>Level</x:v>
      </x:c>
      <x:c r="H3" s="32" t="str">
        <x:v>Treatment / control</x:v>
      </x:c>
      <x:c r="I3" s="32" t="str">
        <x:v>Related requirements</x:v>
      </x:c>
      <x:c r="J3" s="32" t="str">
        <x:v>Related tests</x:v>
      </x:c>
      <x:c r="K3" s="32" t="str">
        <x:v>Owner</x:v>
      </x:c>
      <x:c r="L3" s="32" t="str">
        <x:v>Residual risk</x:v>
      </x:c>
      <x:c r="M3" s="33" t="str">
        <x:v>Status</x:v>
      </x:c>
    </x:row>
    <x:row r="4">
      <x:c r="A4" s="14" t="str">
        <x:v>R-001</x:v>
      </x:c>
      <x:c r="B4" s="14" t="str">
        <x:v>Unauthorised or self approval</x:v>
      </x:c>
      <x:c r="C4" s="14" t="str">
        <x:v>Security</x:v>
      </x:c>
      <x:c r="D4" s="14" t="n">
        <x:v>3</x:v>
      </x:c>
      <x:c r="E4" s="14" t="n">
        <x:v>5</x:v>
      </x:c>
      <x:c r="F4" s="14" t="n">
        <x:f>D4*E4</x:f>
        <x:v>15</x:v>
      </x:c>
      <x:c r="G4" s="14" t="str">
        <x:f>IF(F4&gt;=15,"Critical",IF(F4&gt;=10,"High",IF(F4&gt;=5,"Medium","Low")))</x:f>
        <x:v>Critical</x:v>
      </x:c>
      <x:c r="H4" s="14" t="str">
        <x:v>Role/API/object access and segregation tests</x:v>
      </x:c>
      <x:c r="I4" s="14" t="str">
        <x:v>APR-REQ-003; SEC-REQ-002</x:v>
      </x:c>
      <x:c r="J4" s="14" t="str">
        <x:v>APR-005; APR-006; SEC-003; SEC-004</x:v>
      </x:c>
      <x:c r="K4" s="14" t="str">
        <x:v>Quality Engineer</x:v>
      </x:c>
      <x:c r="L4" s="14" t="str">
        <x:v>Low</x:v>
      </x:c>
      <x:c r="M4" s="14" t="str">
        <x:v>Open</x:v>
      </x:c>
    </x:row>
    <x:row r="5">
      <x:c r="A5" s="15" t="str">
        <x:v>R-002</x:v>
      </x:c>
      <x:c r="B5" s="15" t="str">
        <x:v>Duplicate document or inventory posting</x:v>
      </x:c>
      <x:c r="C5" s="15" t="str">
        <x:v>Data integrity</x:v>
      </x:c>
      <x:c r="D5" s="15" t="n">
        <x:v>4</x:v>
      </x:c>
      <x:c r="E5" s="15" t="n">
        <x:v>5</x:v>
      </x:c>
      <x:c r="F5" s="15" t="n">
        <x:f>D5*E5</x:f>
        <x:v>20</x:v>
      </x:c>
      <x:c r="G5" s="15" t="str">
        <x:f>IF(F5&gt;=15,"Critical",IF(F5&gt;=10,"High",IF(F5&gt;=5,"Medium","Low")))</x:f>
        <x:v>Critical</x:v>
      </x:c>
      <x:c r="H5" s="15" t="str">
        <x:v>Idempotency, uniqueness, replay and DB checks</x:v>
      </x:c>
      <x:c r="I5" s="15" t="str">
        <x:v>SYS-REQ-003</x:v>
      </x:c>
      <x:c r="J5" s="15" t="str">
        <x:v>SUP-011; PR-007; APR-008; PO-010; GRN-007</x:v>
      </x:c>
      <x:c r="K5" s="15" t="str">
        <x:v>Developer</x:v>
      </x:c>
      <x:c r="L5" s="15" t="str">
        <x:v>Medium</x:v>
      </x:c>
      <x:c r="M5" s="15" t="str">
        <x:v>Open</x:v>
      </x:c>
    </x:row>
    <x:row r="6">
      <x:c r="A6" s="15" t="str">
        <x:v>R-003</x:v>
      </x:c>
      <x:c r="B6" s="15" t="str">
        <x:v>Invalid status transition</x:v>
      </x:c>
      <x:c r="C6" s="15" t="str">
        <x:v>Workflow</x:v>
      </x:c>
      <x:c r="D6" s="15" t="n">
        <x:v>3</x:v>
      </x:c>
      <x:c r="E6" s="15" t="n">
        <x:v>5</x:v>
      </x:c>
      <x:c r="F6" s="15" t="n">
        <x:f>D6*E6</x:f>
        <x:v>15</x:v>
      </x:c>
      <x:c r="G6" s="15" t="str">
        <x:f>IF(F6&gt;=15,"Critical",IF(F6&gt;=10,"High",IF(F6&gt;=5,"Medium","Low")))</x:f>
        <x:v>Critical</x:v>
      </x:c>
      <x:c r="H6" s="15" t="str">
        <x:v>Server-side transition enforcement and history</x:v>
      </x:c>
      <x:c r="I6" s="15" t="str">
        <x:v>PR-REQ-006; SYS-REQ-002</x:v>
      </x:c>
      <x:c r="J6" s="15" t="str">
        <x:v>PR-010; SYS-002</x:v>
      </x:c>
      <x:c r="K6" s="15" t="str">
        <x:v>Developer</x:v>
      </x:c>
      <x:c r="L6" s="15" t="str">
        <x:v>Low</x:v>
      </x:c>
      <x:c r="M6" s="15" t="str">
        <x:v>Open</x:v>
      </x:c>
    </x:row>
    <x:row r="7">
      <x:c r="A7" s="15" t="str">
        <x:v>R-004</x:v>
      </x:c>
      <x:c r="B7" s="15" t="str">
        <x:v>Approved PO changed without reapproval</x:v>
      </x:c>
      <x:c r="C7" s="15" t="str">
        <x:v>Financial control</x:v>
      </x:c>
      <x:c r="D7" s="15" t="n">
        <x:v>4</x:v>
      </x:c>
      <x:c r="E7" s="15" t="n">
        <x:v>5</x:v>
      </x:c>
      <x:c r="F7" s="15" t="n">
        <x:f>D7*E7</x:f>
        <x:v>20</x:v>
      </x:c>
      <x:c r="G7" s="15" t="str">
        <x:f>IF(F7&gt;=15,"Critical",IF(F7&gt;=10,"High",IF(F7&gt;=5,"Medium","Low")))</x:f>
        <x:v>Critical</x:v>
      </x:c>
      <x:c r="H7" s="15" t="str">
        <x:v>Material-change reapproval and immutable history</x:v>
      </x:c>
      <x:c r="I7" s="15" t="str">
        <x:v>PO-REQ-004</x:v>
      </x:c>
      <x:c r="J7" s="15" t="str">
        <x:v>PO-006; PO-007</x:v>
      </x:c>
      <x:c r="K7" s="15" t="str">
        <x:v>Product Owner</x:v>
      </x:c>
      <x:c r="L7" s="15" t="str">
        <x:v>Low</x:v>
      </x:c>
      <x:c r="M7" s="15" t="str">
        <x:v>Open</x:v>
      </x:c>
    </x:row>
    <x:row r="8">
      <x:c r="A8" s="15" t="str">
        <x:v>R-005</x:v>
      </x:c>
      <x:c r="B8" s="15" t="str">
        <x:v>Over-receipt or duplicate receipt</x:v>
      </x:c>
      <x:c r="C8" s="15" t="str">
        <x:v>Inventory</x:v>
      </x:c>
      <x:c r="D8" s="15" t="n">
        <x:v>4</x:v>
      </x:c>
      <x:c r="E8" s="15" t="n">
        <x:v>5</x:v>
      </x:c>
      <x:c r="F8" s="15" t="n">
        <x:f>D8*E8</x:f>
        <x:v>20</x:v>
      </x:c>
      <x:c r="G8" s="15" t="str">
        <x:f>IF(F8&gt;=15,"Critical",IF(F8&gt;=10,"High",IF(F8&gt;=5,"Medium","Low")))</x:f>
        <x:v>Critical</x:v>
      </x:c>
      <x:c r="H8" s="15" t="str">
        <x:v>Remaining quantity, concurrency and exactly-once posting</x:v>
      </x:c>
      <x:c r="I8" s="15" t="str">
        <x:v>GRN-REQ-003; INV-REQ-001</x:v>
      </x:c>
      <x:c r="J8" s="15" t="str">
        <x:v>GRN-004; GRN-007; INV-001</x:v>
      </x:c>
      <x:c r="K8" s="15" t="str">
        <x:v>Developer</x:v>
      </x:c>
      <x:c r="L8" s="15" t="str">
        <x:v>Medium</x:v>
      </x:c>
      <x:c r="M8" s="15" t="str">
        <x:v>Open</x:v>
      </x:c>
    </x:row>
    <x:row r="9">
      <x:c r="A9" s="15" t="str">
        <x:v>R-006</x:v>
      </x:c>
      <x:c r="B9" s="15" t="str">
        <x:v>Wrong item or warehouse stock update</x:v>
      </x:c>
      <x:c r="C9" s="15" t="str">
        <x:v>Inventory</x:v>
      </x:c>
      <x:c r="D9" s="15" t="n">
        <x:v>3</x:v>
      </x:c>
      <x:c r="E9" s="15" t="n">
        <x:v>5</x:v>
      </x:c>
      <x:c r="F9" s="15" t="n">
        <x:f>D9*E9</x:f>
        <x:v>15</x:v>
      </x:c>
      <x:c r="G9" s="15" t="str">
        <x:f>IF(F9&gt;=15,"Critical",IF(F9&gt;=10,"High",IF(F9&gt;=5,"Medium","Low")))</x:f>
        <x:v>Critical</x:v>
      </x:c>
      <x:c r="H9" s="15" t="str">
        <x:v>Item/location reconciliation and source linkage</x:v>
      </x:c>
      <x:c r="I9" s="15" t="str">
        <x:v>INV-REQ-002; INV-REQ-003</x:v>
      </x:c>
      <x:c r="J9" s="15" t="str">
        <x:v>INV-002; INV-003</x:v>
      </x:c>
      <x:c r="K9" s="15" t="str">
        <x:v>Quality Engineer</x:v>
      </x:c>
      <x:c r="L9" s="15" t="str">
        <x:v>Low</x:v>
      </x:c>
      <x:c r="M9" s="15" t="str">
        <x:v>Open</x:v>
      </x:c>
    </x:row>
    <x:row r="10">
      <x:c r="A10" s="15" t="str">
        <x:v>R-007</x:v>
      </x:c>
      <x:c r="B10" s="15" t="str">
        <x:v>Partial commit creates inconsistent records</x:v>
      </x:c>
      <x:c r="C10" s="15" t="str">
        <x:v>Reliability</x:v>
      </x:c>
      <x:c r="D10" s="15" t="n">
        <x:v>3</x:v>
      </x:c>
      <x:c r="E10" s="15" t="n">
        <x:v>5</x:v>
      </x:c>
      <x:c r="F10" s="15" t="n">
        <x:f>D10*E10</x:f>
        <x:v>15</x:v>
      </x:c>
      <x:c r="G10" s="15" t="str">
        <x:f>IF(F10&gt;=15,"Critical",IF(F10&gt;=10,"High",IF(F10&gt;=5,"Medium","Low")))</x:f>
        <x:v>Critical</x:v>
      </x:c>
      <x:c r="H10" s="15" t="str">
        <x:v>Transactional rollback and recovery tests</x:v>
      </x:c>
      <x:c r="I10" s="15" t="str">
        <x:v>SYS-REQ-003</x:v>
      </x:c>
      <x:c r="J10" s="15" t="str">
        <x:v>SYS-004</x:v>
      </x:c>
      <x:c r="K10" s="15" t="str">
        <x:v>Developer</x:v>
      </x:c>
      <x:c r="L10" s="15" t="str">
        <x:v>Medium</x:v>
      </x:c>
      <x:c r="M10" s="15" t="str">
        <x:v>Open</x:v>
      </x:c>
    </x:row>
    <x:row r="11">
      <x:c r="A11" s="15" t="str">
        <x:v>R-008</x:v>
      </x:c>
      <x:c r="B11" s="15" t="str">
        <x:v>Broken object or role authorisation</x:v>
      </x:c>
      <x:c r="C11" s="15" t="str">
        <x:v>Security</x:v>
      </x:c>
      <x:c r="D11" s="15" t="n">
        <x:v>3</x:v>
      </x:c>
      <x:c r="E11" s="15" t="n">
        <x:v>5</x:v>
      </x:c>
      <x:c r="F11" s="15" t="n">
        <x:f>D11*E11</x:f>
        <x:v>15</x:v>
      </x:c>
      <x:c r="G11" s="15" t="str">
        <x:f>IF(F11&gt;=15,"Critical",IF(F11&gt;=10,"High",IF(F11&gt;=5,"Medium","Low")))</x:f>
        <x:v>Critical</x:v>
      </x:c>
      <x:c r="H11" s="15" t="str">
        <x:v>Negative access testing at UI and API layers</x:v>
      </x:c>
      <x:c r="I11" s="15" t="str">
        <x:v>SEC-REQ-002</x:v>
      </x:c>
      <x:c r="J11" s="15" t="str">
        <x:v>SEC-003; SEC-004</x:v>
      </x:c>
      <x:c r="K11" s="15" t="str">
        <x:v>Technical Owner</x:v>
      </x:c>
      <x:c r="L11" s="15" t="str">
        <x:v>Low</x:v>
      </x:c>
      <x:c r="M11" s="15" t="str">
        <x:v>Open</x:v>
      </x:c>
    </x:row>
    <x:row r="12">
      <x:c r="A12" s="15" t="str">
        <x:v>R-009</x:v>
      </x:c>
      <x:c r="B12" s="15" t="str">
        <x:v>Injection or unsafe rendered content</x:v>
      </x:c>
      <x:c r="C12" s="15" t="str">
        <x:v>Security</x:v>
      </x:c>
      <x:c r="D12" s="15" t="n">
        <x:v>3</x:v>
      </x:c>
      <x:c r="E12" s="15" t="n">
        <x:v>5</x:v>
      </x:c>
      <x:c r="F12" s="15" t="n">
        <x:f>D12*E12</x:f>
        <x:v>15</x:v>
      </x:c>
      <x:c r="G12" s="15" t="str">
        <x:f>IF(F12&gt;=15,"Critical",IF(F12&gt;=10,"High",IF(F12&gt;=5,"Medium","Low")))</x:f>
        <x:v>Critical</x:v>
      </x:c>
      <x:c r="H12" s="15" t="str">
        <x:v>Parameterisation, validation and output encoding</x:v>
      </x:c>
      <x:c r="I12" s="15" t="str">
        <x:v>SEC-REQ-003</x:v>
      </x:c>
      <x:c r="J12" s="15" t="str">
        <x:v>SEC-005; SEC-006</x:v>
      </x:c>
      <x:c r="K12" s="15" t="str">
        <x:v>Developer</x:v>
      </x:c>
      <x:c r="L12" s="15" t="str">
        <x:v>Low</x:v>
      </x:c>
      <x:c r="M12" s="15" t="str">
        <x:v>Open</x:v>
      </x:c>
    </x:row>
    <x:row r="13">
      <x:c r="A13" s="15" t="str">
        <x:v>R-010</x:v>
      </x:c>
      <x:c r="B13" s="15" t="str">
        <x:v>Sensitive data or secret exposure</x:v>
      </x:c>
      <x:c r="C13" s="15" t="str">
        <x:v>Security</x:v>
      </x:c>
      <x:c r="D13" s="15" t="n">
        <x:v>3</x:v>
      </x:c>
      <x:c r="E13" s="15" t="n">
        <x:v>5</x:v>
      </x:c>
      <x:c r="F13" s="15" t="n">
        <x:f>D13*E13</x:f>
        <x:v>15</x:v>
      </x:c>
      <x:c r="G13" s="15" t="str">
        <x:f>IF(F13&gt;=15,"Critical",IF(F13&gt;=10,"High",IF(F13&gt;=5,"Medium","Low")))</x:f>
        <x:v>Critical</x:v>
      </x:c>
      <x:c r="H13" s="15" t="str">
        <x:v>Response/log review, redaction and secret scanning</x:v>
      </x:c>
      <x:c r="I13" s="15" t="str">
        <x:v>SEC-REQ-005; SEC-REQ-010</x:v>
      </x:c>
      <x:c r="J13" s="15" t="str">
        <x:v>SEC-009; SEC-014</x:v>
      </x:c>
      <x:c r="K13" s="15" t="str">
        <x:v>Technical Owner</x:v>
      </x:c>
      <x:c r="L13" s="15" t="str">
        <x:v>Low</x:v>
      </x:c>
      <x:c r="M13" s="15" t="str">
        <x:v>Open</x:v>
      </x:c>
    </x:row>
    <x:row r="14">
      <x:c r="A14" s="15" t="str">
        <x:v>R-011</x:v>
      </x:c>
      <x:c r="B14" s="15" t="str">
        <x:v>System degrades under concurrent processing</x:v>
      </x:c>
      <x:c r="C14" s="15" t="str">
        <x:v>Performance</x:v>
      </x:c>
      <x:c r="D14" s="15" t="n">
        <x:v>3</x:v>
      </x:c>
      <x:c r="E14" s="15" t="n">
        <x:v>4</x:v>
      </x:c>
      <x:c r="F14" s="15" t="n">
        <x:f>D14*E14</x:f>
        <x:v>12</x:v>
      </x:c>
      <x:c r="G14" s="15" t="str">
        <x:f>IF(F14&gt;=15,"Critical",IF(F14&gt;=10,"High",IF(F14&gt;=5,"Medium","Low")))</x:f>
        <x:v>High</x:v>
      </x:c>
      <x:c r="H14" s="15" t="str">
        <x:v>Baseline checks now; dedicated k6 test phase later</x:v>
      </x:c>
      <x:c r="I14" s="15" t="str">
        <x:v>SYS-REQ-003</x:v>
      </x:c>
      <x:c r="J14" s="15" t="str">
        <x:v>PR-007; PO-010; GRN-007</x:v>
      </x:c>
      <x:c r="K14" s="15" t="str">
        <x:v>Technical Owner</x:v>
      </x:c>
      <x:c r="L14" s="15" t="str">
        <x:v>Medium</x:v>
      </x:c>
      <x:c r="M14" s="15" t="str">
        <x:v>Open</x:v>
      </x:c>
    </x:row>
    <x:row r="15">
      <x:c r="A15" s="16" t="str">
        <x:v>R-012</x:v>
      </x:c>
      <x:c r="B15" s="16" t="str">
        <x:v>Incomplete or misleading test evidence</x:v>
      </x:c>
      <x:c r="C15" s="16" t="str">
        <x:v>Governance</x:v>
      </x:c>
      <x:c r="D15" s="16" t="n">
        <x:v>3</x:v>
      </x:c>
      <x:c r="E15" s="16" t="n">
        <x:v>4</x:v>
      </x:c>
      <x:c r="F15" s="16" t="n">
        <x:f>D15*E15</x:f>
        <x:v>12</x:v>
      </x:c>
      <x:c r="G15" s="16" t="str">
        <x:f>IF(F15&gt;=15,"Critical",IF(F15&gt;=10,"High",IF(F15&gt;=5,"Medium","Low")))</x:f>
        <x:v>High</x:v>
      </x:c>
      <x:c r="H15" s="16" t="str">
        <x:v>Permanent IDs, evidence requirements and RTM</x:v>
      </x:c>
      <x:c r="I15" s="16" t="str">
        <x:v>E2E-REQ-001</x:v>
      </x:c>
      <x:c r="J15" s="16" t="str">
        <x:v>E2E-001; E2E-002</x:v>
      </x:c>
      <x:c r="K15" s="16" t="str">
        <x:v>Quality Engineer</x:v>
      </x:c>
      <x:c r="L15" s="16" t="str">
        <x:v>Low</x:v>
      </x:c>
      <x:c r="M15" s="16" t="str">
        <x:v>Open</x:v>
      </x:c>
    </x:row>
  </x:sheetData>
  <x:mergeCells>
    <x:mergeCell ref="A1:M1"/>
  </x:mergeCells>
  <x:dataValidations count="3">
    <x:dataValidation type="whole" operator="between" sqref="D4:E15">
      <x:formula1>1</x:formula1>
      <x:formula2>5</x:formula2>
    </x:dataValidation>
    <x:dataValidation type="list" sqref="L4:L15">
      <x:formula1>"Critical,High,Medium,Low"</x:formula1>
    </x:dataValidation>
    <x:dataValidation type="list" sqref="M4:M15">
      <x:formula1>"Open,Monitoring,Accepted,Mitigated,Closed"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</x:cols>
  <x:sheetData>
    <x:row r="1" ht="32" customHeight="1">
      <x:c r="A1" s="3" t="str">
        <x:v>Feature Coverage and Execution Status</x:v>
      </x:c>
      <x:c r="B1" s="3"/>
      <x:c r="C1" s="3"/>
      <x:c r="D1" s="3"/>
      <x:c r="E1" s="3"/>
      <x:c r="F1" s="3"/>
      <x:c r="G1" s="3"/>
      <x:c r="H1" s="3"/>
    </x:row>
    <x:row r="3" ht="30" customHeight="1">
      <x:c r="A3" s="31" t="str">
        <x:v>Feature</x:v>
      </x:c>
      <x:c r="B3" s="32" t="str">
        <x:v>Planned cases</x:v>
      </x:c>
      <x:c r="C3" s="32" t="str">
        <x:v>Critical cases</x:v>
      </x:c>
      <x:c r="D3" s="32" t="str">
        <x:v>Executed</x:v>
      </x:c>
      <x:c r="E3" s="32" t="str">
        <x:v>Passed</x:v>
      </x:c>
      <x:c r="F3" s="32" t="str">
        <x:v>Failed</x:v>
      </x:c>
      <x:c r="G3" s="32" t="str">
        <x:v>Blocked</x:v>
      </x:c>
      <x:c r="H3" s="33" t="str">
        <x:v>Execution coverage</x:v>
      </x:c>
    </x:row>
    <x:row r="4">
      <x:c r="A4" s="14" t="str">
        <x:v>Supplier</x:v>
      </x:c>
      <x:c r="B4" s="14" t="n">
        <x:f>COUNTIF('Test Cases'!$C$4:$C$200,A4)</x:f>
        <x:v>11</x:v>
      </x:c>
      <x:c r="C4" s="14" t="n">
        <x:f>COUNTIFS('Test Cases'!$C$4:$C$200,A4,'Test Cases'!$F$4:$F$200,"Critical")</x:f>
        <x:v>4</x:v>
      </x:c>
      <x:c r="D4" s="14" t="n">
        <x:f>COUNTIFS('Test Cases'!$C$4:$C$200,A4,'Execution'!$I$4:$I$200,"&lt;&gt;Not Run",'Execution'!$I$4:$I$200,"&lt;&gt;")</x:f>
        <x:v>0</x:v>
      </x:c>
      <x:c r="E4" s="14" t="n">
        <x:f>COUNTIFS('Test Cases'!$C$4:$C$200,A4,'Execution'!$I$4:$I$200,"Pass")</x:f>
        <x:v>0</x:v>
      </x:c>
      <x:c r="F4" s="14" t="n">
        <x:f>COUNTIFS('Test Cases'!$C$4:$C$200,A4,'Execution'!$I$4:$I$200,"Fail")</x:f>
        <x:v>0</x:v>
      </x:c>
      <x:c r="G4" s="14" t="n">
        <x:f>COUNTIFS('Test Cases'!$C$4:$C$200,A4,'Execution'!$I$4:$I$200,"Blocked")</x:f>
        <x:v>0</x:v>
      </x:c>
      <x:c r="H4" s="34" t="n">
        <x:f>IF(B4=0,0,D4/B4)</x:f>
        <x:v>0</x:v>
      </x:c>
    </x:row>
    <x:row r="5">
      <x:c r="A5" s="15" t="str">
        <x:v>Warehouse</x:v>
      </x:c>
      <x:c r="B5" s="15" t="n">
        <x:f>COUNTIF('Test Cases'!$C$4:$C$200,A5)</x:f>
        <x:v>3</x:v>
      </x:c>
      <x:c r="C5" s="15" t="n">
        <x:f>COUNTIFS('Test Cases'!$C$4:$C$200,A5,'Test Cases'!$F$4:$F$200,"Critical")</x:f>
        <x:v>1</x:v>
      </x:c>
      <x:c r="D5" s="15" t="n">
        <x:f>COUNTIFS('Test Cases'!$C$4:$C$200,A5,'Execution'!$I$4:$I$200,"&lt;&gt;Not Run",'Execution'!$I$4:$I$200,"&lt;&gt;")</x:f>
        <x:v>0</x:v>
      </x:c>
      <x:c r="E5" s="15" t="n">
        <x:f>COUNTIFS('Test Cases'!$C$4:$C$200,A5,'Execution'!$I$4:$I$200,"Pass")</x:f>
        <x:v>0</x:v>
      </x:c>
      <x:c r="F5" s="15" t="n">
        <x:f>COUNTIFS('Test Cases'!$C$4:$C$200,A5,'Execution'!$I$4:$I$200,"Fail")</x:f>
        <x:v>0</x:v>
      </x:c>
      <x:c r="G5" s="15" t="n">
        <x:f>COUNTIFS('Test Cases'!$C$4:$C$200,A5,'Execution'!$I$4:$I$200,"Blocked")</x:f>
        <x:v>0</x:v>
      </x:c>
      <x:c r="H5" s="35" t="n">
        <x:f>IF(B5=0,0,D5/B5)</x:f>
        <x:v>0</x:v>
      </x:c>
    </x:row>
    <x:row r="6">
      <x:c r="A6" s="15" t="str">
        <x:v>Purchase Request</x:v>
      </x:c>
      <x:c r="B6" s="15" t="n">
        <x:f>COUNTIF('Test Cases'!$C$4:$C$200,A6)</x:f>
        <x:v>10</x:v>
      </x:c>
      <x:c r="C6" s="15" t="n">
        <x:f>COUNTIFS('Test Cases'!$C$4:$C$200,A6,'Test Cases'!$F$4:$F$200,"Critical")</x:f>
        <x:v>7</x:v>
      </x:c>
      <x:c r="D6" s="15" t="n">
        <x:f>COUNTIFS('Test Cases'!$C$4:$C$200,A6,'Execution'!$I$4:$I$200,"&lt;&gt;Not Run",'Execution'!$I$4:$I$200,"&lt;&gt;")</x:f>
        <x:v>0</x:v>
      </x:c>
      <x:c r="E6" s="15" t="n">
        <x:f>COUNTIFS('Test Cases'!$C$4:$C$200,A6,'Execution'!$I$4:$I$200,"Pass")</x:f>
        <x:v>0</x:v>
      </x:c>
      <x:c r="F6" s="15" t="n">
        <x:f>COUNTIFS('Test Cases'!$C$4:$C$200,A6,'Execution'!$I$4:$I$200,"Fail")</x:f>
        <x:v>0</x:v>
      </x:c>
      <x:c r="G6" s="15" t="n">
        <x:f>COUNTIFS('Test Cases'!$C$4:$C$200,A6,'Execution'!$I$4:$I$200,"Blocked")</x:f>
        <x:v>0</x:v>
      </x:c>
      <x:c r="H6" s="35" t="n">
        <x:f>IF(B6=0,0,D6/B6)</x:f>
        <x:v>0</x:v>
      </x:c>
    </x:row>
    <x:row r="7">
      <x:c r="A7" s="15" t="str">
        <x:v>Approval</x:v>
      </x:c>
      <x:c r="B7" s="15" t="n">
        <x:f>COUNTIF('Test Cases'!$C$4:$C$200,A7)</x:f>
        <x:v>9</x:v>
      </x:c>
      <x:c r="C7" s="15" t="n">
        <x:f>COUNTIFS('Test Cases'!$C$4:$C$200,A7,'Test Cases'!$F$4:$F$200,"Critical")</x:f>
        <x:v>7</x:v>
      </x:c>
      <x:c r="D7" s="15" t="n">
        <x:f>COUNTIFS('Test Cases'!$C$4:$C$200,A7,'Execution'!$I$4:$I$200,"&lt;&gt;Not Run",'Execution'!$I$4:$I$200,"&lt;&gt;")</x:f>
        <x:v>0</x:v>
      </x:c>
      <x:c r="E7" s="15" t="n">
        <x:f>COUNTIFS('Test Cases'!$C$4:$C$200,A7,'Execution'!$I$4:$I$200,"Pass")</x:f>
        <x:v>0</x:v>
      </x:c>
      <x:c r="F7" s="15" t="n">
        <x:f>COUNTIFS('Test Cases'!$C$4:$C$200,A7,'Execution'!$I$4:$I$200,"Fail")</x:f>
        <x:v>0</x:v>
      </x:c>
      <x:c r="G7" s="15" t="n">
        <x:f>COUNTIFS('Test Cases'!$C$4:$C$200,A7,'Execution'!$I$4:$I$200,"Blocked")</x:f>
        <x:v>0</x:v>
      </x:c>
      <x:c r="H7" s="35" t="n">
        <x:f>IF(B7=0,0,D7/B7)</x:f>
        <x:v>0</x:v>
      </x:c>
    </x:row>
    <x:row r="8">
      <x:c r="A8" s="15" t="str">
        <x:v>Purchase Order</x:v>
      </x:c>
      <x:c r="B8" s="15" t="n">
        <x:f>COUNTIF('Test Cases'!$C$4:$C$200,A8)</x:f>
        <x:v>10</x:v>
      </x:c>
      <x:c r="C8" s="15" t="n">
        <x:f>COUNTIFS('Test Cases'!$C$4:$C$200,A8,'Test Cases'!$F$4:$F$200,"Critical")</x:f>
        <x:v>6</x:v>
      </x:c>
      <x:c r="D8" s="15" t="n">
        <x:f>COUNTIFS('Test Cases'!$C$4:$C$200,A8,'Execution'!$I$4:$I$200,"&lt;&gt;Not Run",'Execution'!$I$4:$I$200,"&lt;&gt;")</x:f>
        <x:v>0</x:v>
      </x:c>
      <x:c r="E8" s="15" t="n">
        <x:f>COUNTIFS('Test Cases'!$C$4:$C$200,A8,'Execution'!$I$4:$I$200,"Pass")</x:f>
        <x:v>0</x:v>
      </x:c>
      <x:c r="F8" s="15" t="n">
        <x:f>COUNTIFS('Test Cases'!$C$4:$C$200,A8,'Execution'!$I$4:$I$200,"Fail")</x:f>
        <x:v>0</x:v>
      </x:c>
      <x:c r="G8" s="15" t="n">
        <x:f>COUNTIFS('Test Cases'!$C$4:$C$200,A8,'Execution'!$I$4:$I$200,"Blocked")</x:f>
        <x:v>0</x:v>
      </x:c>
      <x:c r="H8" s="35" t="n">
        <x:f>IF(B8=0,0,D8/B8)</x:f>
        <x:v>0</x:v>
      </x:c>
    </x:row>
    <x:row r="9">
      <x:c r="A9" s="15" t="str">
        <x:v>Goods Receipt</x:v>
      </x:c>
      <x:c r="B9" s="15" t="n">
        <x:f>COUNTIF('Test Cases'!$C$4:$C$200,A9)</x:f>
        <x:v>8</x:v>
      </x:c>
      <x:c r="C9" s="15" t="n">
        <x:f>COUNTIFS('Test Cases'!$C$4:$C$200,A9,'Test Cases'!$F$4:$F$200,"Critical")</x:f>
        <x:v>7</x:v>
      </x:c>
      <x:c r="D9" s="15" t="n">
        <x:f>COUNTIFS('Test Cases'!$C$4:$C$200,A9,'Execution'!$I$4:$I$200,"&lt;&gt;Not Run",'Execution'!$I$4:$I$200,"&lt;&gt;")</x:f>
        <x:v>0</x:v>
      </x:c>
      <x:c r="E9" s="15" t="n">
        <x:f>COUNTIFS('Test Cases'!$C$4:$C$200,A9,'Execution'!$I$4:$I$200,"Pass")</x:f>
        <x:v>0</x:v>
      </x:c>
      <x:c r="F9" s="15" t="n">
        <x:f>COUNTIFS('Test Cases'!$C$4:$C$200,A9,'Execution'!$I$4:$I$200,"Fail")</x:f>
        <x:v>0</x:v>
      </x:c>
      <x:c r="G9" s="15" t="n">
        <x:f>COUNTIFS('Test Cases'!$C$4:$C$200,A9,'Execution'!$I$4:$I$200,"Blocked")</x:f>
        <x:v>0</x:v>
      </x:c>
      <x:c r="H9" s="35" t="n">
        <x:f>IF(B9=0,0,D9/B9)</x:f>
        <x:v>0</x:v>
      </x:c>
    </x:row>
    <x:row r="10">
      <x:c r="A10" s="15" t="str">
        <x:v>Inventory</x:v>
      </x:c>
      <x:c r="B10" s="15" t="n">
        <x:f>COUNTIF('Test Cases'!$C$4:$C$200,A10)</x:f>
        <x:v>3</x:v>
      </x:c>
      <x:c r="C10" s="15" t="n">
        <x:f>COUNTIFS('Test Cases'!$C$4:$C$200,A10,'Test Cases'!$F$4:$F$200,"Critical")</x:f>
        <x:v>2</x:v>
      </x:c>
      <x:c r="D10" s="15" t="n">
        <x:f>COUNTIFS('Test Cases'!$C$4:$C$200,A10,'Execution'!$I$4:$I$200,"&lt;&gt;Not Run",'Execution'!$I$4:$I$200,"&lt;&gt;")</x:f>
        <x:v>0</x:v>
      </x:c>
      <x:c r="E10" s="15" t="n">
        <x:f>COUNTIFS('Test Cases'!$C$4:$C$200,A10,'Execution'!$I$4:$I$200,"Pass")</x:f>
        <x:v>0</x:v>
      </x:c>
      <x:c r="F10" s="15" t="n">
        <x:f>COUNTIFS('Test Cases'!$C$4:$C$200,A10,'Execution'!$I$4:$I$200,"Fail")</x:f>
        <x:v>0</x:v>
      </x:c>
      <x:c r="G10" s="15" t="n">
        <x:f>COUNTIFS('Test Cases'!$C$4:$C$200,A10,'Execution'!$I$4:$I$200,"Blocked")</x:f>
        <x:v>0</x:v>
      </x:c>
      <x:c r="H10" s="35" t="n">
        <x:f>IF(B10=0,0,D10/B10)</x:f>
        <x:v>0</x:v>
      </x:c>
    </x:row>
    <x:row r="11">
      <x:c r="A11" s="15" t="str">
        <x:v>Security</x:v>
      </x:c>
      <x:c r="B11" s="15" t="n">
        <x:f>COUNTIF('Test Cases'!$C$4:$C$200,A11)</x:f>
        <x:v>14</x:v>
      </x:c>
      <x:c r="C11" s="15" t="n">
        <x:f>COUNTIFS('Test Cases'!$C$4:$C$200,A11,'Test Cases'!$F$4:$F$200,"Critical")</x:f>
        <x:v>8</x:v>
      </x:c>
      <x:c r="D11" s="15" t="n">
        <x:f>COUNTIFS('Test Cases'!$C$4:$C$200,A11,'Execution'!$I$4:$I$200,"&lt;&gt;Not Run",'Execution'!$I$4:$I$200,"&lt;&gt;")</x:f>
        <x:v>0</x:v>
      </x:c>
      <x:c r="E11" s="15" t="n">
        <x:f>COUNTIFS('Test Cases'!$C$4:$C$200,A11,'Execution'!$I$4:$I$200,"Pass")</x:f>
        <x:v>0</x:v>
      </x:c>
      <x:c r="F11" s="15" t="n">
        <x:f>COUNTIFS('Test Cases'!$C$4:$C$200,A11,'Execution'!$I$4:$I$200,"Fail")</x:f>
        <x:v>0</x:v>
      </x:c>
      <x:c r="G11" s="15" t="n">
        <x:f>COUNTIFS('Test Cases'!$C$4:$C$200,A11,'Execution'!$I$4:$I$200,"Blocked")</x:f>
        <x:v>0</x:v>
      </x:c>
      <x:c r="H11" s="35" t="n">
        <x:f>IF(B11=0,0,D11/B11)</x:f>
        <x:v>0</x:v>
      </x:c>
    </x:row>
    <x:row r="12">
      <x:c r="A12" s="15" t="str">
        <x:v>Cross-cutting</x:v>
      </x:c>
      <x:c r="B12" s="15" t="n">
        <x:f>COUNTIF('Test Cases'!$C$4:$C$200,A12)</x:f>
        <x:v>4</x:v>
      </x:c>
      <x:c r="C12" s="15" t="n">
        <x:f>COUNTIFS('Test Cases'!$C$4:$C$200,A12,'Test Cases'!$F$4:$F$200,"Critical")</x:f>
        <x:v>2</x:v>
      </x:c>
      <x:c r="D12" s="15" t="n">
        <x:f>COUNTIFS('Test Cases'!$C$4:$C$200,A12,'Execution'!$I$4:$I$200,"&lt;&gt;Not Run",'Execution'!$I$4:$I$200,"&lt;&gt;")</x:f>
        <x:v>0</x:v>
      </x:c>
      <x:c r="E12" s="15" t="n">
        <x:f>COUNTIFS('Test Cases'!$C$4:$C$200,A12,'Execution'!$I$4:$I$200,"Pass")</x:f>
        <x:v>0</x:v>
      </x:c>
      <x:c r="F12" s="15" t="n">
        <x:f>COUNTIFS('Test Cases'!$C$4:$C$200,A12,'Execution'!$I$4:$I$200,"Fail")</x:f>
        <x:v>0</x:v>
      </x:c>
      <x:c r="G12" s="15" t="n">
        <x:f>COUNTIFS('Test Cases'!$C$4:$C$200,A12,'Execution'!$I$4:$I$200,"Blocked")</x:f>
        <x:v>0</x:v>
      </x:c>
      <x:c r="H12" s="35" t="n">
        <x:f>IF(B12=0,0,D12/B12)</x:f>
        <x:v>0</x:v>
      </x:c>
    </x:row>
    <x:row r="13">
      <x:c r="A13" s="16" t="str">
        <x:v>End-to-End</x:v>
      </x:c>
      <x:c r="B13" s="16" t="n">
        <x:f>COUNTIF('Test Cases'!$C$4:$C$200,A13)</x:f>
        <x:v>2</x:v>
      </x:c>
      <x:c r="C13" s="16" t="n">
        <x:f>COUNTIFS('Test Cases'!$C$4:$C$200,A13,'Test Cases'!$F$4:$F$200,"Critical")</x:f>
        <x:v>2</x:v>
      </x:c>
      <x:c r="D13" s="16" t="n">
        <x:f>COUNTIFS('Test Cases'!$C$4:$C$200,A13,'Execution'!$I$4:$I$200,"&lt;&gt;Not Run",'Execution'!$I$4:$I$200,"&lt;&gt;")</x:f>
        <x:v>0</x:v>
      </x:c>
      <x:c r="E13" s="16" t="n">
        <x:f>COUNTIFS('Test Cases'!$C$4:$C$200,A13,'Execution'!$I$4:$I$200,"Pass")</x:f>
        <x:v>0</x:v>
      </x:c>
      <x:c r="F13" s="16" t="n">
        <x:f>COUNTIFS('Test Cases'!$C$4:$C$200,A13,'Execution'!$I$4:$I$200,"Fail")</x:f>
        <x:v>0</x:v>
      </x:c>
      <x:c r="G13" s="16" t="n">
        <x:f>COUNTIFS('Test Cases'!$C$4:$C$200,A13,'Execution'!$I$4:$I$200,"Blocked")</x:f>
        <x:v>0</x:v>
      </x:c>
      <x:c r="H13" s="36" t="n">
        <x:f>IF(B13=0,0,D13/B13)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4" max="4" width="28" hidden="0" customWidth="1"/>
    <x:col min="5" max="5" width="16" hidden="0" customWidth="1"/>
  </x:cols>
  <x:sheetData>
    <x:row r="1" ht="32" customHeight="1">
      <x:c r="A1" s="3" t="str">
        <x:v>Phase 1 Quality Dashboard</x:v>
      </x:c>
      <x:c r="B1" s="3"/>
      <x:c r="C1" s="3"/>
      <x:c r="D1" s="3"/>
      <x:c r="E1" s="3"/>
      <x:c r="F1" s="3"/>
      <x:c r="G1" s="3"/>
      <x:c r="H1" s="3"/>
    </x:row>
    <x:row r="3">
      <x:c r="A3" s="24" t="str">
        <x:v>Coverage KPI</x:v>
      </x:c>
      <x:c r="B3" s="24" t="str">
        <x:v>Value</x:v>
      </x:c>
      <x:c r="D3" s="24" t="str">
        <x:v>Risk / defect KPI</x:v>
      </x:c>
      <x:c r="E3" s="24" t="str">
        <x:v>Value</x:v>
      </x:c>
    </x:row>
    <x:row r="4">
      <x:c r="A4" s="14" t="str">
        <x:v>Planned test cases</x:v>
      </x:c>
      <x:c r="B4" s="14" t="n">
        <x:f>COUNTA('Test Cases'!$A$4:$A$200)</x:f>
        <x:v>74</x:v>
      </x:c>
      <x:c r="D4" s="14" t="str">
        <x:v>Security planned</x:v>
      </x:c>
      <x:c r="E4" s="14" t="n">
        <x:f>COUNTIF('Test Cases'!$C$4:$C$200,"Security")</x:f>
        <x:v>14</x:v>
      </x:c>
    </x:row>
    <x:row r="5">
      <x:c r="A5" s="15" t="str">
        <x:v>Critical test cases</x:v>
      </x:c>
      <x:c r="B5" s="15" t="n">
        <x:f>COUNTIF('Test Cases'!$F$4:$F$200,"Critical")</x:f>
        <x:v>46</x:v>
      </x:c>
      <x:c r="D5" s="15" t="str">
        <x:v>Security executed</x:v>
      </x:c>
      <x:c r="E5" s="15" t="n">
        <x:f>COUNTIFS('Test Cases'!$C$4:$C$200,"Security",'Execution'!$I$4:$I$200,"&lt;&gt;Not Run",'Execution'!$I$4:$I$200,"&lt;&gt;")</x:f>
        <x:v>0</x:v>
      </x:c>
    </x:row>
    <x:row r="6">
      <x:c r="A6" s="15" t="str">
        <x:v>Requirements</x:v>
      </x:c>
      <x:c r="B6" s="15" t="n">
        <x:f>COUNTA('Requirements'!$A$4:$A$200)</x:f>
        <x:v>46</x:v>
      </x:c>
      <x:c r="D6" s="15" t="str">
        <x:v>Security execution coverage</x:v>
      </x:c>
      <x:c r="E6" s="35" t="n">
        <x:f>IF(E4=0,0,E5/E4)</x:f>
        <x:v>0</x:v>
      </x:c>
    </x:row>
    <x:row r="7">
      <x:c r="A7" s="15" t="str">
        <x:v>Mapped requirements</x:v>
      </x:c>
      <x:c r="B7" s="15" t="n">
        <x:f>COUNTIF('Traceability'!$F$4:$F$200,"Covered")</x:f>
        <x:v>46</x:v>
      </x:c>
      <x:c r="D7" s="15" t="str">
        <x:v>Open Critical defects</x:v>
      </x:c>
      <x:c r="E7" s="15" t="n">
        <x:f>COUNTIFS('Defects'!$F$4:$F$53,"Critical",'Defects'!$H$4:$H$53,"&lt;&gt;Closed",'Defects'!$A$4:$A$53,"?*")</x:f>
        <x:v>0</x:v>
      </x:c>
    </x:row>
    <x:row r="8">
      <x:c r="A8" s="15" t="str">
        <x:v>Requirement design coverage</x:v>
      </x:c>
      <x:c r="B8" s="35" t="n">
        <x:f>IF(B6=0,0,B7/B6)</x:f>
        <x:v>1</x:v>
      </x:c>
      <x:c r="D8" s="15" t="str">
        <x:v>Open High defects</x:v>
      </x:c>
      <x:c r="E8" s="15" t="n">
        <x:f>COUNTIFS('Defects'!$F$4:$F$53,"High",'Defects'!$H$4:$H$53,"&lt;&gt;Closed",'Defects'!$A$4:$A$53,"?*")</x:f>
        <x:v>0</x:v>
      </x:c>
    </x:row>
    <x:row r="9">
      <x:c r="A9" s="15" t="str">
        <x:v>Executed tests</x:v>
      </x:c>
      <x:c r="B9" s="15" t="n">
        <x:f>COUNTIFS('Execution'!$I$4:$I$200,"&lt;&gt;Not Run",'Execution'!$I$4:$I$200,"&lt;&gt;")</x:f>
        <x:v>0</x:v>
      </x:c>
      <x:c r="D9" s="15" t="str">
        <x:v>Total logged defects</x:v>
      </x:c>
      <x:c r="E9" s="15" t="n">
        <x:f>COUNTIF('Defects'!$A$4:$A$53,"?*")</x:f>
        <x:v>0</x:v>
      </x:c>
    </x:row>
    <x:row r="10">
      <x:c r="A10" s="15" t="str">
        <x:v>Execution coverage</x:v>
      </x:c>
      <x:c r="B10" s="35" t="n">
        <x:f>IF(B4=0,0,B9/B4)</x:f>
        <x:v>0</x:v>
      </x:c>
      <x:c r="D10" s="15" t="str">
        <x:v>Closed defects</x:v>
      </x:c>
      <x:c r="E10" s="15" t="n">
        <x:f>COUNTIFS('Defects'!$H$4:$H$53,"Closed",'Defects'!$A$4:$A$53,"?*")</x:f>
        <x:v>0</x:v>
      </x:c>
    </x:row>
    <x:row r="11">
      <x:c r="A11" s="15" t="str">
        <x:v>Passed</x:v>
      </x:c>
      <x:c r="B11" s="15" t="n">
        <x:f>COUNTIF('Execution'!$I$4:$I$200,"Pass")</x:f>
        <x:v>0</x:v>
      </x:c>
      <x:c r="D11" s="15" t="str">
        <x:v>Defect closure rate</x:v>
      </x:c>
      <x:c r="E11" s="35" t="n">
        <x:f>IF(E9=0,0,E10/E9)</x:f>
        <x:v>0</x:v>
      </x:c>
    </x:row>
    <x:row r="12">
      <x:c r="A12" s="15" t="str">
        <x:v>Failed</x:v>
      </x:c>
      <x:c r="B12" s="15" t="n">
        <x:f>COUNTIF('Execution'!$I$4:$I$200,"Fail")</x:f>
        <x:v>0</x:v>
      </x:c>
      <x:c r="D12" s="15" t="str">
        <x:v>Failed retests</x:v>
      </x:c>
      <x:c r="E12" s="15" t="n">
        <x:f>COUNTIFS('Defects'!$N$4:$N$53,"Fail",'Defects'!$A$4:$A$53,"?*")</x:f>
        <x:v>0</x:v>
      </x:c>
    </x:row>
    <x:row r="13">
      <x:c r="A13" s="15" t="str">
        <x:v>Blocked</x:v>
      </x:c>
      <x:c r="B13" s="15" t="n">
        <x:f>COUNTIF('Execution'!$I$4:$I$200,"Blocked")</x:f>
        <x:v>0</x:v>
      </x:c>
      <x:c r="D13" s="16" t="str">
        <x:v>Open Critical risks</x:v>
      </x:c>
      <x:c r="E13" s="16" t="n">
        <x:f>COUNTIFS('Risk Register'!$G$4:$G$30,"Critical",'Risk Register'!$M$4:$M$30,"&lt;&gt;Closed")</x:f>
        <x:v>10</x:v>
      </x:c>
    </x:row>
    <x:row r="14">
      <x:c r="A14" s="15" t="str">
        <x:v>Pass rate</x:v>
      </x:c>
      <x:c r="B14" s="35" t="n">
        <x:f>IF(B9=0,0,B10/B9)</x:f>
        <x:v>0</x:v>
      </x:c>
    </x:row>
    <x:row r="15">
      <x:c r="A15" s="15" t="str">
        <x:v>Critical pass rate</x:v>
      </x:c>
      <x:c r="B15" s="35" t="n">
        <x:f>IF(COUNTIFS('Test Cases'!$F$4:$F$200,"Critical",'Execution'!$I$4:$I$200,"&lt;&gt;Not Run",'Execution'!$I$4:$I$200,"&lt;&gt;")=0,0,COUNTIFS('Test Cases'!$F$4:$F$200,"Critical",'Execution'!$I$4:$I$200,"Pass")/COUNTIFS('Test Cases'!$F$4:$F$200,"Critical",'Execution'!$I$4:$I$200,"&lt;&gt;Not Run",'Execution'!$I$4:$I$200,"&lt;&gt;"))</x:f>
        <x:v>0</x:v>
      </x:c>
    </x:row>
    <x:row r="16">
      <x:c r="A16" s="16" t="str">
        <x:v>Automation coverage</x:v>
      </x:c>
      <x:c r="B16" s="36" t="n">
        <x:f>IF(B4=0,0,COUNTIF('Test Cases'!$K$4:$K$200,"Automated")/B4)</x:f>
        <x:v>0</x:v>
      </x:c>
    </x:row>
    <x:row r="18" ht="42" customHeight="1">
      <x:c r="A18" s="38" t="str">
        <x:v>RELEASE STATUS: NOT READY — becomes eligible for human approval only when Critical execution/pass targets, E2E tests, security gates, defect gates and traceability criteria are satisfied.</x:v>
      </x:c>
      <x:c r="B18" s="38"/>
      <x:c r="C18" s="38"/>
      <x:c r="D18" s="38"/>
      <x:c r="E18" s="38"/>
      <x:c r="F18" s="38"/>
      <x:c r="G18" s="38"/>
      <x:c r="H18" s="38"/>
    </x:row>
  </x:sheetData>
  <x:mergeCells>
    <x:mergeCell ref="A1:H1"/>
    <x:mergeCell ref="A18:H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60" hidden="0" customWidth="1"/>
  </x:cols>
  <x:sheetData>
    <x:row r="1" ht="32" customHeight="1">
      <x:c r="A1" s="3" t="str">
        <x:v>Standards and Reference Sources</x:v>
      </x:c>
      <x:c r="B1" s="3"/>
      <x:c r="C1" s="3"/>
    </x:row>
    <x:row r="3" ht="30" customHeight="1">
      <x:c r="A3" s="31" t="str">
        <x:v>Reference</x:v>
      </x:c>
      <x:c r="B3" s="32" t="str">
        <x:v>Use</x:v>
      </x:c>
      <x:c r="C3" s="33" t="str">
        <x:v>Official URL</x:v>
      </x:c>
    </x:row>
    <x:row r="4">
      <x:c r="A4" s="14" t="str">
        <x:v>ISO/IEC/IEEE 29119-2:2021</x:v>
      </x:c>
      <x:c r="B4" s="14" t="str">
        <x:v>Test processes and risk-based management</x:v>
      </x:c>
      <x:c r="C4" s="14" t="str">
        <x:v>https://www.iso.org/standard/79428.html</x:v>
      </x:c>
    </x:row>
    <x:row r="5">
      <x:c r="A5" s="15" t="str">
        <x:v>ISO/IEC/IEEE 29119-3:2021</x:v>
      </x:c>
      <x:c r="B5" s="15" t="str">
        <x:v>Test documentation templates</x:v>
      </x:c>
      <x:c r="C5" s="15" t="str">
        <x:v>https://www.iso.org/standard/79429.html</x:v>
      </x:c>
    </x:row>
    <x:row r="6">
      <x:c r="A6" s="16" t="str">
        <x:v>IEEE 829-2008</x:v>
      </x:c>
      <x:c r="B6" s="16" t="str">
        <x:v>Historical standard; superseded by ISO/IEC/IEEE 29119</x:v>
      </x:c>
      <x:c r="C6" s="16" t="str">
        <x:v>https://standards.ieee.org/standard/829-2008.html</x:v>
      </x:c>
    </x:row>
  </x:sheetData>
  <x:mergeCells>
    <x:mergeCell ref="A1:C1"/>
  </x:mergeCells>
  <x:pageMargins left="0.7" right="0.7" top="0.75" bottom="0.75" header="0.3" footer="0.3"/>
</x:worksheet>
</file>